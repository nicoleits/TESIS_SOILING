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orporacionatamostec-my.sharepoint.com/personal/nicole_torres_atamostec_cl/Documents/01 - Proyectos/01 - PSDA/03 - CACTUS/02 - WP2/01 - Soiling Study/"/>
    </mc:Choice>
  </mc:AlternateContent>
  <xr:revisionPtr revIDLastSave="1040" documentId="8_{59F1F385-61D2-4BCF-B84E-B1F009AC4FD3}" xr6:coauthVersionLast="47" xr6:coauthVersionMax="47" xr10:uidLastSave="{3E228F90-C411-4919-8E35-F1351E2AEFA9}"/>
  <bookViews>
    <workbookView xWindow="-109" yWindow="-109" windowWidth="26301" windowHeight="14169" activeTab="1" xr2:uid="{0B296494-F413-4D1F-9C5D-0C9FAE8F4D7E}"/>
  </bookViews>
  <sheets>
    <sheet name="Hoja1" sheetId="1" r:id="rId1"/>
    <sheet name="Hoja3" sheetId="3" r:id="rId2"/>
    <sheet name="Hoja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8" i="1" l="1"/>
  <c r="P98" i="1"/>
  <c r="Q98" i="1"/>
  <c r="P2" i="1"/>
  <c r="Q2" i="1"/>
  <c r="P3" i="1"/>
  <c r="Q3" i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O15" i="1"/>
  <c r="O14" i="1"/>
  <c r="O13" i="1"/>
  <c r="O12" i="1"/>
  <c r="O11" i="1"/>
  <c r="O10" i="1"/>
  <c r="O9" i="1"/>
  <c r="AA16" i="1"/>
  <c r="O8" i="1"/>
  <c r="O16" i="1"/>
  <c r="O7" i="1"/>
  <c r="O6" i="1"/>
  <c r="O5" i="1"/>
  <c r="O4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" i="1"/>
  <c r="O2" i="1"/>
  <c r="AB3" i="1" a="1"/>
  <c r="AC4" i="1" a="1"/>
  <c r="AD5" i="1" a="1"/>
  <c r="AB7" i="1" a="1"/>
  <c r="AC8" i="1" a="1"/>
  <c r="AD9" i="1" a="1"/>
  <c r="AB11" i="1" a="1"/>
  <c r="AC12" i="1" a="1"/>
  <c r="AD13" i="1" a="1"/>
  <c r="AB15" i="1" a="1"/>
  <c r="AC16" i="1" a="1"/>
  <c r="AD17" i="1" a="1"/>
  <c r="AB19" i="1" a="1"/>
  <c r="AC20" i="1" a="1"/>
  <c r="AD21" i="1" a="1"/>
  <c r="AB23" i="1" a="1"/>
  <c r="AC24" i="1" a="1"/>
  <c r="AD25" i="1" a="1"/>
  <c r="AD33" i="1" a="1"/>
  <c r="AB14" i="1" a="1"/>
  <c r="AD24" i="1" a="1"/>
  <c r="AB30" i="1" a="1"/>
  <c r="AD22" i="1" a="1"/>
  <c r="AB32" i="1" a="1"/>
  <c r="AC32" i="1" a="1"/>
  <c r="AC3" i="1" a="1"/>
  <c r="AD4" i="1" a="1"/>
  <c r="AB6" i="1" a="1"/>
  <c r="AC7" i="1" a="1"/>
  <c r="AD8" i="1" a="1"/>
  <c r="AB10" i="1" a="1"/>
  <c r="AC11" i="1" a="1"/>
  <c r="AD12" i="1" a="1"/>
  <c r="AC15" i="1" a="1"/>
  <c r="AD16" i="1" a="1"/>
  <c r="AB18" i="1" a="1"/>
  <c r="AC19" i="1" a="1"/>
  <c r="AD20" i="1" a="1"/>
  <c r="AB22" i="1" a="1"/>
  <c r="AC23" i="1" a="1"/>
  <c r="AB26" i="1" a="1"/>
  <c r="AC27" i="1" a="1"/>
  <c r="AD28" i="1" a="1"/>
  <c r="AC31" i="1" a="1"/>
  <c r="AD32" i="1" a="1"/>
  <c r="AD18" i="1" a="1"/>
  <c r="AB28" i="1" a="1"/>
  <c r="AD29" i="1" a="1"/>
  <c r="AB13" i="1" a="1"/>
  <c r="AD19" i="1" a="1"/>
  <c r="AC22" i="1" a="1"/>
  <c r="AB25" i="1" a="1"/>
  <c r="AD27" i="1" a="1"/>
  <c r="AC30" i="1" a="1"/>
  <c r="AB33" i="1" a="1"/>
  <c r="AB12" i="1" a="1"/>
  <c r="AC17" i="1" a="1"/>
  <c r="AC21" i="1" a="1"/>
  <c r="AD26" i="1" a="1"/>
  <c r="AC33" i="1" a="1"/>
  <c r="AB31" i="1" a="1"/>
  <c r="AD3" i="1" a="1"/>
  <c r="AB5" i="1" a="1"/>
  <c r="AC6" i="1" a="1"/>
  <c r="AD7" i="1" a="1"/>
  <c r="AB9" i="1" a="1"/>
  <c r="AC10" i="1" a="1"/>
  <c r="AD11" i="1" a="1"/>
  <c r="AC14" i="1" a="1"/>
  <c r="AD15" i="1" a="1"/>
  <c r="AB17" i="1" a="1"/>
  <c r="AC18" i="1" a="1"/>
  <c r="AB21" i="1" a="1"/>
  <c r="AD23" i="1" a="1"/>
  <c r="AC26" i="1" a="1"/>
  <c r="AB29" i="1" a="1"/>
  <c r="AD31" i="1" a="1"/>
  <c r="AD14" i="1" a="1"/>
  <c r="AB24" i="1" a="1"/>
  <c r="AC29" i="1" a="1"/>
  <c r="AB27" i="1" a="1"/>
  <c r="AB4" i="1" a="1"/>
  <c r="AC5" i="1" a="1"/>
  <c r="AD6" i="1" a="1"/>
  <c r="AB8" i="1" a="1"/>
  <c r="AC9" i="1" a="1"/>
  <c r="AD10" i="1" a="1"/>
  <c r="AC13" i="1" a="1"/>
  <c r="AB16" i="1" a="1"/>
  <c r="AB20" i="1" a="1"/>
  <c r="AC25" i="1" a="1"/>
  <c r="AD30" i="1" a="1"/>
  <c r="AC28" i="1" a="1"/>
  <c r="AD2" i="1" a="1"/>
  <c r="AC2" i="1" a="1"/>
  <c r="AB2" i="1" a="1"/>
  <c r="X25" i="1" a="1"/>
  <c r="AC28" i="1" l="1"/>
  <c r="AD30" i="1"/>
  <c r="AC25" i="1"/>
  <c r="AB20" i="1"/>
  <c r="AB16" i="1"/>
  <c r="AC13" i="1"/>
  <c r="AD10" i="1"/>
  <c r="AC9" i="1"/>
  <c r="AB8" i="1"/>
  <c r="AD6" i="1"/>
  <c r="AC5" i="1"/>
  <c r="AB4" i="1"/>
  <c r="AB27" i="1"/>
  <c r="AC29" i="1"/>
  <c r="AB24" i="1"/>
  <c r="AD14" i="1"/>
  <c r="AD31" i="1"/>
  <c r="AB29" i="1"/>
  <c r="AC26" i="1"/>
  <c r="AD23" i="1"/>
  <c r="AB21" i="1"/>
  <c r="AC18" i="1"/>
  <c r="AB17" i="1"/>
  <c r="AD15" i="1"/>
  <c r="AC14" i="1"/>
  <c r="AD11" i="1"/>
  <c r="AC10" i="1"/>
  <c r="AB9" i="1"/>
  <c r="AD7" i="1"/>
  <c r="AC6" i="1"/>
  <c r="AB5" i="1"/>
  <c r="AD3" i="1"/>
  <c r="AB31" i="1"/>
  <c r="AC33" i="1"/>
  <c r="AD26" i="1"/>
  <c r="AC21" i="1"/>
  <c r="AC17" i="1"/>
  <c r="AB12" i="1"/>
  <c r="AB33" i="1"/>
  <c r="AC30" i="1"/>
  <c r="AD27" i="1"/>
  <c r="AB25" i="1"/>
  <c r="AC22" i="1"/>
  <c r="AD19" i="1"/>
  <c r="AB13" i="1"/>
  <c r="AD29" i="1"/>
  <c r="AB28" i="1"/>
  <c r="AD18" i="1"/>
  <c r="AD32" i="1"/>
  <c r="AC31" i="1"/>
  <c r="AD28" i="1"/>
  <c r="AC27" i="1"/>
  <c r="AB26" i="1"/>
  <c r="AC23" i="1"/>
  <c r="AB22" i="1"/>
  <c r="AD20" i="1"/>
  <c r="AC19" i="1"/>
  <c r="AB18" i="1"/>
  <c r="AD16" i="1"/>
  <c r="AC15" i="1"/>
  <c r="AD12" i="1"/>
  <c r="AC11" i="1"/>
  <c r="AB10" i="1"/>
  <c r="AD8" i="1"/>
  <c r="AC7" i="1"/>
  <c r="AB6" i="1"/>
  <c r="AD4" i="1"/>
  <c r="AC3" i="1"/>
  <c r="AC32" i="1"/>
  <c r="AB32" i="1"/>
  <c r="AD22" i="1"/>
  <c r="AB30" i="1"/>
  <c r="AD24" i="1"/>
  <c r="AB14" i="1"/>
  <c r="AD33" i="1"/>
  <c r="AD25" i="1"/>
  <c r="AC24" i="1"/>
  <c r="AB23" i="1"/>
  <c r="AD21" i="1"/>
  <c r="AC20" i="1"/>
  <c r="AB19" i="1"/>
  <c r="AD17" i="1"/>
  <c r="AC16" i="1"/>
  <c r="AB15" i="1"/>
  <c r="AD13" i="1"/>
  <c r="AC12" i="1"/>
  <c r="AB11" i="1"/>
  <c r="AD9" i="1"/>
  <c r="AC8" i="1"/>
  <c r="AB7" i="1"/>
  <c r="AD5" i="1"/>
  <c r="AC4" i="1"/>
  <c r="AB3" i="1"/>
  <c r="AD2" i="1"/>
  <c r="AC2" i="1"/>
  <c r="AB2" i="1"/>
  <c r="X25" i="1"/>
  <c r="Q80" i="1"/>
  <c r="K100" i="1"/>
  <c r="L100" i="1"/>
  <c r="C98" i="1"/>
  <c r="C100" i="1" s="1"/>
  <c r="E100" i="1" s="1"/>
  <c r="G100" i="1" s="1"/>
  <c r="E102" i="1"/>
  <c r="G102" i="1" s="1"/>
  <c r="B101" i="1"/>
  <c r="B103" i="1" s="1"/>
  <c r="B99" i="1"/>
  <c r="B98" i="1"/>
  <c r="E96" i="1"/>
  <c r="G96" i="1" s="1"/>
  <c r="E3" i="1"/>
  <c r="G3" i="1" s="1"/>
  <c r="E4" i="1"/>
  <c r="G4" i="1" s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4" i="1"/>
  <c r="G24" i="1" s="1"/>
  <c r="E25" i="1"/>
  <c r="G25" i="1" s="1"/>
  <c r="E26" i="1"/>
  <c r="G26" i="1" s="1"/>
  <c r="E27" i="1"/>
  <c r="G27" i="1" s="1"/>
  <c r="E28" i="1"/>
  <c r="G28" i="1" s="1"/>
  <c r="E29" i="1"/>
  <c r="G29" i="1" s="1"/>
  <c r="E30" i="1"/>
  <c r="G30" i="1" s="1"/>
  <c r="E31" i="1"/>
  <c r="G31" i="1" s="1"/>
  <c r="E32" i="1"/>
  <c r="G32" i="1" s="1"/>
  <c r="E33" i="1"/>
  <c r="G33" i="1" s="1"/>
  <c r="E34" i="1"/>
  <c r="G34" i="1" s="1"/>
  <c r="E35" i="1"/>
  <c r="G35" i="1" s="1"/>
  <c r="E36" i="1"/>
  <c r="G36" i="1" s="1"/>
  <c r="E37" i="1"/>
  <c r="G37" i="1" s="1"/>
  <c r="E38" i="1"/>
  <c r="G38" i="1" s="1"/>
  <c r="E39" i="1"/>
  <c r="G39" i="1" s="1"/>
  <c r="E40" i="1"/>
  <c r="G40" i="1" s="1"/>
  <c r="E41" i="1"/>
  <c r="G41" i="1" s="1"/>
  <c r="E42" i="1"/>
  <c r="G42" i="1" s="1"/>
  <c r="E43" i="1"/>
  <c r="G43" i="1" s="1"/>
  <c r="E44" i="1"/>
  <c r="G44" i="1" s="1"/>
  <c r="E45" i="1"/>
  <c r="G45" i="1" s="1"/>
  <c r="E46" i="1"/>
  <c r="G46" i="1" s="1"/>
  <c r="E47" i="1"/>
  <c r="G47" i="1" s="1"/>
  <c r="E48" i="1"/>
  <c r="G48" i="1" s="1"/>
  <c r="E49" i="1"/>
  <c r="G49" i="1" s="1"/>
  <c r="E50" i="1"/>
  <c r="G50" i="1" s="1"/>
  <c r="E51" i="1"/>
  <c r="G51" i="1" s="1"/>
  <c r="E52" i="1"/>
  <c r="G52" i="1" s="1"/>
  <c r="E53" i="1"/>
  <c r="G53" i="1" s="1"/>
  <c r="E54" i="1"/>
  <c r="G54" i="1" s="1"/>
  <c r="E55" i="1"/>
  <c r="G55" i="1" s="1"/>
  <c r="E56" i="1"/>
  <c r="G56" i="1" s="1"/>
  <c r="E57" i="1"/>
  <c r="G57" i="1" s="1"/>
  <c r="E58" i="1"/>
  <c r="G58" i="1" s="1"/>
  <c r="E59" i="1"/>
  <c r="G59" i="1" s="1"/>
  <c r="E60" i="1"/>
  <c r="G60" i="1" s="1"/>
  <c r="E61" i="1"/>
  <c r="G61" i="1" s="1"/>
  <c r="E62" i="1"/>
  <c r="G62" i="1" s="1"/>
  <c r="E63" i="1"/>
  <c r="G63" i="1" s="1"/>
  <c r="E64" i="1"/>
  <c r="G64" i="1" s="1"/>
  <c r="E65" i="1"/>
  <c r="G65" i="1" s="1"/>
  <c r="E66" i="1"/>
  <c r="G66" i="1" s="1"/>
  <c r="E67" i="1"/>
  <c r="G67" i="1" s="1"/>
  <c r="E68" i="1"/>
  <c r="G68" i="1" s="1"/>
  <c r="E69" i="1"/>
  <c r="G69" i="1" s="1"/>
  <c r="E70" i="1"/>
  <c r="G70" i="1" s="1"/>
  <c r="E71" i="1"/>
  <c r="G71" i="1" s="1"/>
  <c r="E72" i="1"/>
  <c r="G72" i="1" s="1"/>
  <c r="E73" i="1"/>
  <c r="G73" i="1" s="1"/>
  <c r="E78" i="1"/>
  <c r="G78" i="1" s="1"/>
  <c r="E79" i="1"/>
  <c r="G79" i="1" s="1"/>
  <c r="E83" i="1"/>
  <c r="G83" i="1" s="1"/>
  <c r="E84" i="1"/>
  <c r="G84" i="1" s="1"/>
  <c r="E85" i="1"/>
  <c r="G85" i="1" s="1"/>
  <c r="E89" i="1"/>
  <c r="G89" i="1" s="1"/>
  <c r="E90" i="1"/>
  <c r="G90" i="1" s="1"/>
  <c r="E91" i="1"/>
  <c r="G91" i="1" s="1"/>
  <c r="E92" i="1"/>
  <c r="G92" i="1" s="1"/>
  <c r="E93" i="1"/>
  <c r="G93" i="1" s="1"/>
  <c r="E94" i="1"/>
  <c r="G94" i="1" s="1"/>
  <c r="E97" i="1"/>
  <c r="G97" i="1" s="1"/>
  <c r="B95" i="1"/>
  <c r="E95" i="1" s="1"/>
  <c r="G95" i="1" s="1"/>
  <c r="B87" i="1"/>
  <c r="E87" i="1" s="1"/>
  <c r="G87" i="1" s="1"/>
  <c r="B86" i="1"/>
  <c r="E86" i="1" s="1"/>
  <c r="G86" i="1" s="1"/>
  <c r="B88" i="1"/>
  <c r="E88" i="1" s="1"/>
  <c r="G88" i="1" s="1"/>
  <c r="B77" i="1"/>
  <c r="E77" i="1" s="1"/>
  <c r="G77" i="1" s="1"/>
  <c r="B82" i="1"/>
  <c r="B81" i="1"/>
  <c r="E81" i="1" s="1"/>
  <c r="G81" i="1" s="1"/>
  <c r="B80" i="1"/>
  <c r="E80" i="1" s="1"/>
  <c r="G80" i="1" s="1"/>
  <c r="B76" i="1"/>
  <c r="B75" i="1"/>
  <c r="E75" i="1" s="1"/>
  <c r="G75" i="1" s="1"/>
  <c r="B74" i="1"/>
  <c r="E74" i="1" s="1"/>
  <c r="G74" i="1" s="1"/>
  <c r="R11" i="1"/>
  <c r="R12" i="1"/>
  <c r="R13" i="1"/>
  <c r="R14" i="1"/>
  <c r="R10" i="1"/>
  <c r="R9" i="1"/>
  <c r="R8" i="1"/>
  <c r="R7" i="1"/>
  <c r="R6" i="1"/>
  <c r="R5" i="1"/>
  <c r="R4" i="1"/>
  <c r="R3" i="1"/>
  <c r="R2" i="1"/>
  <c r="E2" i="1"/>
  <c r="G2" i="1" s="1"/>
  <c r="AB34" i="1" a="1"/>
  <c r="AD34" i="1" a="1"/>
  <c r="AC34" i="1" a="1"/>
  <c r="AE30" i="1" a="1"/>
  <c r="AE26" i="1" a="1"/>
  <c r="AE22" i="1" a="1"/>
  <c r="AE18" i="1" a="1"/>
  <c r="AE14" i="1" a="1"/>
  <c r="AE33" i="1" a="1"/>
  <c r="AE29" i="1" a="1"/>
  <c r="AE25" i="1" a="1"/>
  <c r="AE21" i="1" a="1"/>
  <c r="AE17" i="1" a="1"/>
  <c r="AE13" i="1" a="1"/>
  <c r="AE9" i="1" a="1"/>
  <c r="AE5" i="1" a="1"/>
  <c r="AE12" i="1" a="1"/>
  <c r="AE23" i="1" a="1"/>
  <c r="AE11" i="1" a="1"/>
  <c r="AE2" i="1" a="1"/>
  <c r="AE32" i="1" a="1"/>
  <c r="AE28" i="1" a="1"/>
  <c r="AE24" i="1" a="1"/>
  <c r="AE20" i="1" a="1"/>
  <c r="AE16" i="1" a="1"/>
  <c r="AE8" i="1" a="1"/>
  <c r="AE4" i="1" a="1"/>
  <c r="AE27" i="1" a="1"/>
  <c r="AE19" i="1" a="1"/>
  <c r="AE15" i="1" a="1"/>
  <c r="AE7" i="1" a="1"/>
  <c r="AE10" i="1" a="1"/>
  <c r="AE31" i="1" a="1"/>
  <c r="AE3" i="1" a="1"/>
  <c r="AE6" i="1" a="1"/>
  <c r="V7" i="1" a="1"/>
  <c r="T7" i="1" a="1"/>
  <c r="X10" i="1" a="1"/>
  <c r="S19" i="1" a="1"/>
  <c r="Y23" i="1" a="1"/>
  <c r="W9" i="1" a="1"/>
  <c r="S27" i="1" a="1"/>
  <c r="T19" i="1" a="1"/>
  <c r="U6" i="1" a="1"/>
  <c r="S5" i="1" a="1"/>
  <c r="U21" i="1" a="1"/>
  <c r="S7" i="1" a="1"/>
  <c r="Y21" i="1" a="1"/>
  <c r="X5" i="1" a="1"/>
  <c r="U12" i="1" a="1"/>
  <c r="U16" i="1" a="1"/>
  <c r="X23" i="1" a="1"/>
  <c r="W34" i="1" a="1"/>
  <c r="X8" i="1" a="1"/>
  <c r="T34" i="1" a="1"/>
  <c r="X12" i="1" a="1"/>
  <c r="W26" i="1" a="1"/>
  <c r="W18" i="1" a="1"/>
  <c r="T9" i="1" a="1"/>
  <c r="Y32" i="1" a="1"/>
  <c r="U28" i="1" a="1"/>
  <c r="V14" i="1" a="1"/>
  <c r="W3" i="1" a="1"/>
  <c r="Y9" i="1" a="1"/>
  <c r="T14" i="1" a="1"/>
  <c r="W23" i="1" a="1"/>
  <c r="W4" i="1" a="1"/>
  <c r="S26" i="1" a="1"/>
  <c r="T17" i="1" a="1"/>
  <c r="T4" i="1" a="1"/>
  <c r="S34" i="1" a="1"/>
  <c r="T28" i="1" a="1"/>
  <c r="W8" i="1" a="1"/>
  <c r="T12" i="1" a="1"/>
  <c r="V9" i="1" a="1"/>
  <c r="U9" i="1" a="1"/>
  <c r="T18" i="1" a="1"/>
  <c r="V11" i="1" a="1"/>
  <c r="X30" i="1" a="1"/>
  <c r="Y3" i="1" a="1"/>
  <c r="Y16" i="1" a="1"/>
  <c r="T27" i="1" a="1"/>
  <c r="S8" i="1" a="1"/>
  <c r="S33" i="1" a="1"/>
  <c r="T24" i="1" a="1"/>
  <c r="X18" i="1" a="1"/>
  <c r="V19" i="1" a="1"/>
  <c r="U15" i="1" a="1"/>
  <c r="V27" i="1" a="1"/>
  <c r="T11" i="1" a="1"/>
  <c r="W33" i="1" a="1"/>
  <c r="W24" i="1" a="1"/>
  <c r="V31" i="1" a="1"/>
  <c r="S28" i="1" a="1"/>
  <c r="Y20" i="1" a="1"/>
  <c r="W7" i="1" a="1"/>
  <c r="U30" i="1" a="1"/>
  <c r="W20" i="1" a="1"/>
  <c r="Y17" i="1" a="1"/>
  <c r="U4" i="1" a="1"/>
  <c r="S15" i="1" a="1"/>
  <c r="S18" i="1" a="1"/>
  <c r="S10" i="1" a="1"/>
  <c r="X16" i="1" a="1"/>
  <c r="V26" i="1" a="1"/>
  <c r="U24" i="1" a="1"/>
  <c r="W17" i="1" a="1"/>
  <c r="U11" i="1" a="1"/>
  <c r="W32" i="1" a="1"/>
  <c r="S17" i="1" a="1"/>
  <c r="W25" i="1" a="1"/>
  <c r="V25" i="1" a="1"/>
  <c r="T6" i="1" a="1"/>
  <c r="Y15" i="1" a="1"/>
  <c r="S14" i="1" a="1"/>
  <c r="U22" i="1" a="1"/>
  <c r="Y11" i="1" a="1"/>
  <c r="Y14" i="1" a="1"/>
  <c r="V33" i="1" a="1"/>
  <c r="Y31" i="1" a="1"/>
  <c r="Y24" i="1" a="1"/>
  <c r="Y6" i="1" a="1"/>
  <c r="T25" i="1" a="1"/>
  <c r="T26" i="1" a="1"/>
  <c r="U2" i="1" a="1"/>
  <c r="X17" i="1" a="1"/>
  <c r="S16" i="1" a="1"/>
  <c r="Y12" i="1" a="1"/>
  <c r="X29" i="1" a="1"/>
  <c r="U10" i="1" a="1"/>
  <c r="U31" i="1" a="1"/>
  <c r="V13" i="1" a="1"/>
  <c r="T16" i="1" a="1"/>
  <c r="T8" i="1" a="1"/>
  <c r="V5" i="1" a="1"/>
  <c r="X6" i="1" a="1"/>
  <c r="V4" i="1" a="1"/>
  <c r="X19" i="1" a="1"/>
  <c r="S20" i="1" a="1"/>
  <c r="U33" i="1" a="1"/>
  <c r="T20" i="1" a="1"/>
  <c r="U13" i="1" a="1"/>
  <c r="S32" i="1" a="1"/>
  <c r="V6" i="1" a="1"/>
  <c r="W13" i="1" a="1"/>
  <c r="U18" i="1" a="1"/>
  <c r="S22" i="1" a="1"/>
  <c r="U19" i="1" a="1"/>
  <c r="V12" i="1" a="1"/>
  <c r="V29" i="1" a="1"/>
  <c r="V23" i="1" a="1"/>
  <c r="U26" i="1" a="1"/>
  <c r="S31" i="1" a="1"/>
  <c r="X34" i="1" a="1"/>
  <c r="X21" i="1" a="1"/>
  <c r="U8" i="1" a="1"/>
  <c r="X2" i="1" a="1"/>
  <c r="W2" i="1" a="1"/>
  <c r="S29" i="1" a="1"/>
  <c r="X3" i="1" a="1"/>
  <c r="S2" i="1" a="1"/>
  <c r="W5" i="1" a="1"/>
  <c r="W21" i="1" a="1"/>
  <c r="X14" i="1" a="1"/>
  <c r="X32" i="1" a="1"/>
  <c r="U29" i="1" a="1"/>
  <c r="X24" i="1" a="1"/>
  <c r="V8" i="1" a="1"/>
  <c r="S30" i="1" a="1"/>
  <c r="S21" i="1" a="1"/>
  <c r="Y19" i="1" a="1"/>
  <c r="T23" i="1" a="1"/>
  <c r="T30" i="1" a="1"/>
  <c r="S24" i="1" a="1"/>
  <c r="V22" i="1" a="1"/>
  <c r="T32" i="1" a="1"/>
  <c r="Y4" i="1" a="1"/>
  <c r="X27" i="1" a="1"/>
  <c r="V24" i="1" a="1"/>
  <c r="T2" i="1" a="1"/>
  <c r="S6" i="1" a="1"/>
  <c r="Y7" i="1" a="1"/>
  <c r="U7" i="1" a="1"/>
  <c r="V2" i="1" a="1"/>
  <c r="Y5" i="1" a="1"/>
  <c r="W15" i="1" a="1"/>
  <c r="Y10" i="1" a="1"/>
  <c r="V34" i="1" a="1"/>
  <c r="W6" i="1" a="1"/>
  <c r="X13" i="1" a="1"/>
  <c r="W16" i="1" a="1"/>
  <c r="S11" i="1" a="1"/>
  <c r="S13" i="1" a="1"/>
  <c r="W30" i="1" a="1"/>
  <c r="V3" i="1" a="1"/>
  <c r="V15" i="1" a="1"/>
  <c r="T31" i="1" a="1"/>
  <c r="U14" i="1" a="1"/>
  <c r="Y22" i="1" a="1"/>
  <c r="V28" i="1" a="1"/>
  <c r="U5" i="1" a="1"/>
  <c r="X31" i="1" a="1"/>
  <c r="W29" i="1" a="1"/>
  <c r="W12" i="1" a="1"/>
  <c r="S9" i="1" a="1"/>
  <c r="U34" i="1" a="1"/>
  <c r="U27" i="1" a="1"/>
  <c r="T15" i="1" a="1"/>
  <c r="Y2" i="1" a="1"/>
  <c r="Y13" i="1" a="1"/>
  <c r="W27" i="1" a="1"/>
  <c r="W31" i="1" a="1"/>
  <c r="W28" i="1" a="1"/>
  <c r="X4" i="1" a="1"/>
  <c r="T10" i="1" a="1"/>
  <c r="T3" i="1" a="1"/>
  <c r="X22" i="1" a="1"/>
  <c r="X28" i="1" a="1"/>
  <c r="U32" i="1" a="1"/>
  <c r="U20" i="1" a="1"/>
  <c r="V30" i="1" a="1"/>
  <c r="T5" i="1" a="1"/>
  <c r="T13" i="1" a="1"/>
  <c r="W10" i="1" a="1"/>
  <c r="X15" i="1" a="1"/>
  <c r="X33" i="1" a="1"/>
  <c r="V21" i="1" a="1"/>
  <c r="S4" i="1" a="1"/>
  <c r="S12" i="1" a="1"/>
  <c r="S25" i="1" a="1"/>
  <c r="U25" i="1" a="1"/>
  <c r="T21" i="1" a="1"/>
  <c r="W11" i="1" a="1"/>
  <c r="W22" i="1" a="1"/>
  <c r="U23" i="1" a="1"/>
  <c r="V32" i="1" a="1"/>
  <c r="X26" i="1" a="1"/>
  <c r="Y33" i="1" a="1"/>
  <c r="Y18" i="1" a="1"/>
  <c r="V10" i="1" a="1"/>
  <c r="V17" i="1" a="1"/>
  <c r="Y8" i="1" a="1"/>
  <c r="Y25" i="1" a="1"/>
  <c r="V18" i="1" a="1"/>
  <c r="U3" i="1" a="1"/>
  <c r="T29" i="1" a="1"/>
  <c r="V20" i="1" a="1"/>
  <c r="T22" i="1" a="1"/>
  <c r="W14" i="1" a="1"/>
  <c r="X7" i="1" a="1"/>
  <c r="S23" i="1" a="1"/>
  <c r="Y29" i="1" a="1"/>
  <c r="X11" i="1" a="1"/>
  <c r="S3" i="1" a="1"/>
  <c r="V16" i="1" a="1"/>
  <c r="X9" i="1" a="1"/>
  <c r="X20" i="1" a="1"/>
  <c r="U17" i="1" a="1"/>
  <c r="W19" i="1" a="1"/>
  <c r="T33" i="1" a="1"/>
  <c r="AC34" i="1" l="1"/>
  <c r="AD34" i="1"/>
  <c r="AB34" i="1"/>
  <c r="AE6" i="1"/>
  <c r="AE3" i="1"/>
  <c r="AE31" i="1"/>
  <c r="AE10" i="1"/>
  <c r="AE7" i="1"/>
  <c r="AE15" i="1"/>
  <c r="AE19" i="1"/>
  <c r="AE27" i="1"/>
  <c r="AE4" i="1"/>
  <c r="AE8" i="1"/>
  <c r="AE16" i="1"/>
  <c r="AE20" i="1"/>
  <c r="AE24" i="1"/>
  <c r="AE28" i="1"/>
  <c r="AE32" i="1"/>
  <c r="AE2" i="1"/>
  <c r="AE11" i="1"/>
  <c r="AE23" i="1"/>
  <c r="AE12" i="1"/>
  <c r="AE5" i="1"/>
  <c r="AE9" i="1"/>
  <c r="AE13" i="1"/>
  <c r="AE17" i="1"/>
  <c r="AE21" i="1"/>
  <c r="AE25" i="1"/>
  <c r="AE29" i="1"/>
  <c r="AE33" i="1"/>
  <c r="AE14" i="1"/>
  <c r="AE18" i="1"/>
  <c r="AE22" i="1"/>
  <c r="AE26" i="1"/>
  <c r="AE30" i="1"/>
  <c r="C99" i="1"/>
  <c r="E99" i="1" s="1"/>
  <c r="G99" i="1" s="1"/>
  <c r="E98" i="1"/>
  <c r="G98" i="1" s="1"/>
  <c r="B104" i="1"/>
  <c r="E104" i="1" s="1"/>
  <c r="G104" i="1" s="1"/>
  <c r="E103" i="1"/>
  <c r="G103" i="1" s="1"/>
  <c r="E101" i="1"/>
  <c r="G101" i="1" s="1"/>
  <c r="V34" i="1"/>
  <c r="U34" i="1"/>
  <c r="X34" i="1"/>
  <c r="T34" i="1"/>
  <c r="W34" i="1"/>
  <c r="S34" i="1"/>
  <c r="W32" i="1"/>
  <c r="W33" i="1"/>
  <c r="S33" i="1"/>
  <c r="V32" i="1"/>
  <c r="X33" i="1"/>
  <c r="T33" i="1"/>
  <c r="V33" i="1"/>
  <c r="Y32" i="1"/>
  <c r="U32" i="1"/>
  <c r="Y33" i="1"/>
  <c r="U33" i="1"/>
  <c r="T32" i="1"/>
  <c r="X32" i="1"/>
  <c r="S32" i="1"/>
  <c r="E76" i="1"/>
  <c r="G76" i="1" s="1"/>
  <c r="E82" i="1"/>
  <c r="G82" i="1" s="1"/>
  <c r="U31" i="1"/>
  <c r="X31" i="1"/>
  <c r="T31" i="1"/>
  <c r="V30" i="1"/>
  <c r="X29" i="1"/>
  <c r="T29" i="1"/>
  <c r="V28" i="1"/>
  <c r="X27" i="1"/>
  <c r="T27" i="1"/>
  <c r="V26" i="1"/>
  <c r="S31" i="1"/>
  <c r="U30" i="1"/>
  <c r="S29" i="1"/>
  <c r="U28" i="1"/>
  <c r="W27" i="1"/>
  <c r="U26" i="1"/>
  <c r="W31" i="1"/>
  <c r="W29" i="1"/>
  <c r="S27" i="1"/>
  <c r="W30" i="1"/>
  <c r="V31" i="1"/>
  <c r="X30" i="1"/>
  <c r="T30" i="1"/>
  <c r="X28" i="1"/>
  <c r="T28" i="1"/>
  <c r="V27" i="1"/>
  <c r="X26" i="1"/>
  <c r="T26" i="1"/>
  <c r="V29" i="1"/>
  <c r="S30" i="1"/>
  <c r="U29" i="1"/>
  <c r="W28" i="1"/>
  <c r="S28" i="1"/>
  <c r="U27" i="1"/>
  <c r="W26" i="1"/>
  <c r="S26" i="1"/>
  <c r="T23" i="1"/>
  <c r="T19" i="1"/>
  <c r="T15" i="1"/>
  <c r="T7" i="1"/>
  <c r="T3" i="1"/>
  <c r="T22" i="1"/>
  <c r="T18" i="1"/>
  <c r="T14" i="1"/>
  <c r="T10" i="1"/>
  <c r="T6" i="1"/>
  <c r="T21" i="1"/>
  <c r="T13" i="1"/>
  <c r="T5" i="1"/>
  <c r="T25" i="1"/>
  <c r="T17" i="1"/>
  <c r="T9" i="1"/>
  <c r="T24" i="1"/>
  <c r="T20" i="1"/>
  <c r="T16" i="1"/>
  <c r="T12" i="1"/>
  <c r="T8" i="1"/>
  <c r="T4" i="1"/>
  <c r="T11" i="1"/>
  <c r="S22" i="1"/>
  <c r="S14" i="1"/>
  <c r="S6" i="1"/>
  <c r="S18" i="1"/>
  <c r="S10" i="1"/>
  <c r="S21" i="1"/>
  <c r="S13" i="1"/>
  <c r="S24" i="1"/>
  <c r="S20" i="1"/>
  <c r="S16" i="1"/>
  <c r="S8" i="1"/>
  <c r="S4" i="1"/>
  <c r="S17" i="1"/>
  <c r="S5" i="1"/>
  <c r="S12" i="1"/>
  <c r="S25" i="1"/>
  <c r="S9" i="1"/>
  <c r="S23" i="1"/>
  <c r="S19" i="1"/>
  <c r="S15" i="1"/>
  <c r="S11" i="1"/>
  <c r="S7" i="1"/>
  <c r="S3" i="1"/>
  <c r="Y31" i="1"/>
  <c r="Y29" i="1"/>
  <c r="V25" i="1"/>
  <c r="W25" i="1"/>
  <c r="U25" i="1"/>
  <c r="Y25" i="1"/>
  <c r="W23" i="1"/>
  <c r="W24" i="1"/>
  <c r="V23" i="1"/>
  <c r="Y23" i="1"/>
  <c r="U23" i="1"/>
  <c r="X24" i="1"/>
  <c r="V24" i="1"/>
  <c r="Y24" i="1"/>
  <c r="U24" i="1"/>
  <c r="X23" i="1"/>
  <c r="Y22" i="1"/>
  <c r="V19" i="1"/>
  <c r="U22" i="1"/>
  <c r="U19" i="1"/>
  <c r="X21" i="1"/>
  <c r="X22" i="1"/>
  <c r="V20" i="1"/>
  <c r="Y19" i="1"/>
  <c r="W22" i="1"/>
  <c r="V21" i="1"/>
  <c r="U20" i="1"/>
  <c r="W20" i="1"/>
  <c r="W21" i="1"/>
  <c r="Y20" i="1"/>
  <c r="X19" i="1"/>
  <c r="V22" i="1"/>
  <c r="Y21" i="1"/>
  <c r="U21" i="1"/>
  <c r="X20" i="1"/>
  <c r="W19" i="1"/>
  <c r="X16" i="1"/>
  <c r="W15" i="1"/>
  <c r="Y18" i="1"/>
  <c r="U18" i="1"/>
  <c r="X17" i="1"/>
  <c r="W16" i="1"/>
  <c r="V15" i="1"/>
  <c r="W17" i="1"/>
  <c r="V16" i="1"/>
  <c r="U15" i="1"/>
  <c r="Y17" i="1"/>
  <c r="X18" i="1"/>
  <c r="Y15" i="1"/>
  <c r="V18" i="1"/>
  <c r="U17" i="1"/>
  <c r="W18" i="1"/>
  <c r="V17" i="1"/>
  <c r="Y16" i="1"/>
  <c r="U16" i="1"/>
  <c r="X15" i="1"/>
  <c r="Y14" i="1"/>
  <c r="Y10" i="1"/>
  <c r="Y13" i="1"/>
  <c r="Y9" i="1"/>
  <c r="Y5" i="1"/>
  <c r="Y6" i="1"/>
  <c r="Y4" i="1"/>
  <c r="Y8" i="1"/>
  <c r="Y12" i="1"/>
  <c r="Y11" i="1"/>
  <c r="Y7" i="1"/>
  <c r="Y3" i="1"/>
  <c r="Y2" i="1"/>
  <c r="V12" i="1"/>
  <c r="V10" i="1"/>
  <c r="W7" i="1"/>
  <c r="W13" i="1"/>
  <c r="U2" i="1"/>
  <c r="U4" i="1"/>
  <c r="V6" i="1"/>
  <c r="W14" i="1"/>
  <c r="W12" i="1"/>
  <c r="X13" i="1"/>
  <c r="W9" i="1"/>
  <c r="U10" i="1"/>
  <c r="V14" i="1"/>
  <c r="V11" i="1"/>
  <c r="W10" i="1"/>
  <c r="W8" i="1"/>
  <c r="X4" i="1"/>
  <c r="T2" i="1"/>
  <c r="U14" i="1"/>
  <c r="U12" i="1"/>
  <c r="V13" i="1"/>
  <c r="V7" i="1"/>
  <c r="W11" i="1"/>
  <c r="X2" i="1"/>
  <c r="X10" i="1"/>
  <c r="W3" i="1"/>
  <c r="V4" i="1"/>
  <c r="U6" i="1"/>
  <c r="U8" i="1"/>
  <c r="V5" i="1"/>
  <c r="V3" i="1"/>
  <c r="W5" i="1"/>
  <c r="X6" i="1"/>
  <c r="X12" i="1"/>
  <c r="U3" i="1"/>
  <c r="U13" i="1"/>
  <c r="S2" i="1"/>
  <c r="U11" i="1"/>
  <c r="U7" i="1"/>
  <c r="V9" i="1"/>
  <c r="W2" i="1"/>
  <c r="X14" i="1"/>
  <c r="X8" i="1"/>
  <c r="X11" i="1"/>
  <c r="U9" i="1"/>
  <c r="X9" i="1"/>
  <c r="U5" i="1"/>
  <c r="V2" i="1"/>
  <c r="V8" i="1"/>
  <c r="W6" i="1"/>
  <c r="W4" i="1"/>
  <c r="X5" i="1"/>
  <c r="X7" i="1"/>
  <c r="X3" i="1"/>
  <c r="AE34" i="1" a="1"/>
  <c r="Y27" i="1" a="1"/>
  <c r="Y34" i="1" a="1"/>
  <c r="Y30" i="1" a="1"/>
  <c r="Y28" i="1" a="1"/>
  <c r="Y26" i="1" a="1"/>
  <c r="AE34" i="1" l="1"/>
  <c r="Y34" i="1"/>
  <c r="Y27" i="1"/>
  <c r="Y30" i="1"/>
  <c r="Y26" i="1"/>
  <c r="Y2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C1A47B-BA13-4EF3-B0F5-7F03F10E48E7}" keepAlive="1" name="Consulta - resultados_diferencias_masas" description="Conexión a la consulta 'resultados_diferencias_masas' en el libro." type="5" refreshedVersion="0" background="1" saveData="1">
    <dbPr connection="Provider=Microsoft.Mashup.OleDb.1;Data Source=$Workbook$;Location=resultados_diferencias_masas;Extended Properties=&quot;&quot;" command="SELECT * FROM [resultados_diferencias_masa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<sst xmlns="http://schemas.openxmlformats.org/spreadsheetml/2006/main" count="602" uniqueCount="55">
  <si>
    <t>Semana</t>
  </si>
  <si>
    <t>Inicio Exposición</t>
  </si>
  <si>
    <t>Fecha medición</t>
  </si>
  <si>
    <t>Estructura</t>
  </si>
  <si>
    <t>Exposición</t>
  </si>
  <si>
    <t>Tiempo</t>
  </si>
  <si>
    <t>Periodo</t>
  </si>
  <si>
    <t>Masa A</t>
  </si>
  <si>
    <t>Masa B</t>
  </si>
  <si>
    <t>Masa C</t>
  </si>
  <si>
    <t>Fila</t>
  </si>
  <si>
    <t>Estado</t>
  </si>
  <si>
    <t>Realizado</t>
  </si>
  <si>
    <t>Operador</t>
  </si>
  <si>
    <t>Comentario</t>
  </si>
  <si>
    <t>Week</t>
  </si>
  <si>
    <t>SR Ai</t>
  </si>
  <si>
    <t>SR Bi</t>
  </si>
  <si>
    <t>SR Ci</t>
  </si>
  <si>
    <t>SR Af</t>
  </si>
  <si>
    <t>SR Bf</t>
  </si>
  <si>
    <t>SR Cf</t>
  </si>
  <si>
    <t>Fija a RC</t>
  </si>
  <si>
    <t>días</t>
  </si>
  <si>
    <t>soiled</t>
  </si>
  <si>
    <t>si</t>
  </si>
  <si>
    <t>DO</t>
  </si>
  <si>
    <t>RC a Fija</t>
  </si>
  <si>
    <t>JM</t>
  </si>
  <si>
    <t>clean</t>
  </si>
  <si>
    <t>EM</t>
  </si>
  <si>
    <t>NT</t>
  </si>
  <si>
    <t>AV</t>
  </si>
  <si>
    <t>Fecha Medición</t>
  </si>
  <si>
    <t>A</t>
  </si>
  <si>
    <t>B</t>
  </si>
  <si>
    <t>C</t>
  </si>
  <si>
    <t>Posición</t>
  </si>
  <si>
    <t>Soiled</t>
  </si>
  <si>
    <t>Cleaned</t>
  </si>
  <si>
    <t>una vez masado limpio, dejar resguardado en estacion meteo</t>
  </si>
  <si>
    <t>vidrio sucio ubicado en fotoceldas, luego de masar, lavarlo</t>
  </si>
  <si>
    <t>vidrio sucio ubicado en estructura fija posición 4 (1 arriba, 6 abajo), luego de masar poner en fotoceldas</t>
  </si>
  <si>
    <t>vidrio sucio ubicado en estructura fija posición 3 (1 arriba, 6 abajo), luego de masar poner en fotoceldas</t>
  </si>
  <si>
    <t>Vidrios A6/B6/C6 guardados en caja roja, colocarlos en la posición 4, procurando no afectar el soiling ya contenido</t>
  </si>
  <si>
    <t>medicion de estos vidrios tiene error. Se dejaran sobre celdas por un mes.</t>
  </si>
  <si>
    <t>Grafico</t>
  </si>
  <si>
    <t>semanal</t>
  </si>
  <si>
    <t>Mensual</t>
  </si>
  <si>
    <t>Trimestral</t>
  </si>
  <si>
    <t>2 semanas</t>
  </si>
  <si>
    <t>Cuatrimestral</t>
  </si>
  <si>
    <t>Semestral</t>
  </si>
  <si>
    <t>1 año</t>
  </si>
  <si>
    <t>Δ sucio - limpio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</si>
</sst>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0" borderId="0" xfId="0" quotePrefix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1" fillId="0" borderId="2" xfId="0" applyFont="1" applyBorder="1"/>
    <xf numFmtId="165" fontId="2" fillId="2" borderId="0" xfId="0" applyNumberFormat="1" applyFont="1" applyFill="1"/>
    <xf numFmtId="165" fontId="2" fillId="0" borderId="0" xfId="0" applyNumberFormat="1" applyFont="1"/>
    <xf numFmtId="166" fontId="0" fillId="0" borderId="0" xfId="0" applyNumberFormat="1"/>
    <xf numFmtId="0" fontId="0" fillId="0" borderId="0" xfId="0" applyBorder="1"/>
  </cellXfs>
  <cellStyles count="1">
    <cellStyle name="Normal" xfId="0" builtinId="0"/>
  </cellStyles>
  <dxfs count="1"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603496</xdr:colOff>
      <xdr:row>0</xdr:row>
      <xdr:rowOff>-369176</xdr:rowOff>
    </xdr:from>
    <xdr:ext cx="149887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1318C79F-CFCB-C219-B77E-66A769A5F5A0}"/>
                </a:ext>
              </a:extLst>
            </xdr:cNvPr>
            <xdr:cNvSpPr txBox="1"/>
          </xdr:nvSpPr>
          <xdr:spPr>
            <a:xfrm>
              <a:off x="11615379" y="-369176"/>
              <a:ext cx="149887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a:fld id="{825F15A7-03F4-43D7-82C5-3E23DA2F108C}" type="mathplaceholder">
                      <a:rPr lang="en-US" sz="1100" i="1">
                        <a:latin typeface="Cambria Math" panose="02040503050406030204" pitchFamily="18" charset="0"/>
                      </a:rPr>
                      <a:t>Escriba aquí la ecuación.</a:t>
                    </a:fld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1318C79F-CFCB-C219-B77E-66A769A5F5A0}"/>
                </a:ext>
              </a:extLst>
            </xdr:cNvPr>
            <xdr:cNvSpPr txBox="1"/>
          </xdr:nvSpPr>
          <xdr:spPr>
            <a:xfrm>
              <a:off x="11615379" y="-369176"/>
              <a:ext cx="149887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"Escriba aquí la ecuación."</a:t>
              </a:r>
              <a:endParaRPr lang="en-US" sz="1100"/>
            </a:p>
          </xdr:txBody>
        </xdr:sp>
      </mc:Fallback>
    </mc:AlternateContent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B512F3-57A8-4750-AC85-A94A3532D162}" name="Tabla2" displayName="Tabla2" ref="A1:N1048576" totalsRowShown="0" headerRowBorderDxfId="0">
  <autoFilter ref="A1:N1048576" xr:uid="{5DB512F3-57A8-4750-AC85-A94A3532D162}"/>
  <tableColumns count="14">
    <tableColumn id="1" xr3:uid="{2C80B9B1-4FA1-4359-82A2-C24741A803AA}" name="Semana"/>
    <tableColumn id="2" xr3:uid="{ECC1EB6F-D8D1-45A4-82BE-95BF6682365F}" name="Inicio Exposición"/>
    <tableColumn id="3" xr3:uid="{3DECC78B-8508-4E3E-A665-36FE42A89F0F}" name="Fecha medición"/>
    <tableColumn id="4" xr3:uid="{173EFD6C-209A-4FBF-A095-FF0C5D7A7C83}" name="Estructura"/>
    <tableColumn id="5" xr3:uid="{89F3DD4B-20D8-4A10-8C77-1A7041AAB274}" name="Exposición"/>
    <tableColumn id="6" xr3:uid="{2B04251F-650E-4011-9DCA-5D21A06551D4}" name="Tiempo"/>
    <tableColumn id="7" xr3:uid="{D2528838-36C9-49BA-B505-D9CEC022792F}" name="Periodo"/>
    <tableColumn id="8" xr3:uid="{74656973-ADA4-4E34-ABB4-CE2E7DCDF808}" name="Masa A"/>
    <tableColumn id="9" xr3:uid="{91C496DB-F928-4DBE-BA4B-1C3C3C078349}" name="Masa B"/>
    <tableColumn id="10" xr3:uid="{7FA3ED0B-7C82-4C30-AE5D-D7E3D46F01B9}" name="Masa C"/>
    <tableColumn id="11" xr3:uid="{35C4C654-CB10-41E8-BBC4-9A0D3CB7175A}" name="Fila"/>
    <tableColumn id="12" xr3:uid="{E0366EFA-189D-4AB0-93AC-3226E0D311DB}" name="Estado"/>
    <tableColumn id="13" xr3:uid="{981581BB-097F-4A4A-B992-BBB47EB13D2E}" name="Realizado"/>
    <tableColumn id="14" xr3:uid="{BF39355E-A9CB-4508-ABF3-297F31A320AD}" name="Operador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FECD2E-6EB2-4868-9B77-762DAE72BAEF}" name="Tabla3" displayName="Tabla3" ref="A14:H47" totalsRowShown="0">
  <autoFilter ref="A14:H47" xr:uid="{C5FECD2E-6EB2-4868-9B77-762DAE72BAEF}"/>
  <sortState xmlns:xlrd2="http://schemas.microsoft.com/office/spreadsheetml/2017/richdata2" ref="A15:H47">
    <sortCondition ref="H15:H47" customList="semanal,2 semanas,mensual,trimetral,cuatrimestral,semestral,1 año"/>
  </sortState>
  <tableColumns count="8">
    <tableColumn id="1" xr3:uid="{FBD0AEF4-7182-4286-9187-BA6B69B2E2DD}" name="Week"/>
    <tableColumn id="2" xr3:uid="{FF47DC03-D809-4B06-A14D-50D5C6F7A5DD}" name="SR Ai"/>
    <tableColumn id="3" xr3:uid="{4D5B092D-2C85-4681-80EB-9C2B59079533}" name="SR Bi"/>
    <tableColumn id="4" xr3:uid="{E868357E-7D65-4BEE-938B-F66F52A84487}" name="SR Ci"/>
    <tableColumn id="5" xr3:uid="{4D04AFF0-91E3-47C9-9748-6072DC1E8E9F}" name="SR Af"/>
    <tableColumn id="6" xr3:uid="{034ACC98-A82F-49E3-A8FE-76E805A365A4}" name="SR Bf"/>
    <tableColumn id="7" xr3:uid="{8388707F-94F0-4B1F-BF82-0117511BC376}" name="SR Cf"/>
    <tableColumn id="8" xr3:uid="{3AF5E26F-F9B3-4DAC-AA71-29AB24A96900}" name="Periodo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E20E5-33A4-4F87-A57F-69BE67452249}">
  <dimension ref="A1:AE104"/>
  <sheetViews>
    <sheetView zoomScale="98" zoomScaleNormal="85" workbookViewId="0">
      <pane ySplit="1" topLeftCell="A81" activePane="bottomLeft" state="frozen"/>
      <selection pane="bottomLeft" activeCell="H100" sqref="H100"/>
    </sheetView>
  </sheetViews>
  <sheetFormatPr baseColWidth="10" defaultColWidth="11.375" defaultRowHeight="14.3" x14ac:dyDescent="0.25"/>
  <cols>
    <col min="2" max="2" width="16.75" customWidth="1"/>
    <col min="3" max="3" width="16.375" customWidth="1"/>
    <col min="4" max="4" width="11.5" customWidth="1"/>
    <col min="5" max="5" width="11.875" customWidth="1"/>
    <col min="7" max="7" width="12.375" bestFit="1" customWidth="1"/>
    <col min="15" max="16" width="11.375" customWidth="1"/>
    <col min="19" max="19" width="6.75" bestFit="1" customWidth="1"/>
    <col min="20" max="24" width="7.75" bestFit="1" customWidth="1"/>
    <col min="25" max="25" width="12.375" bestFit="1" customWidth="1"/>
    <col min="26" max="26" width="5.25" customWidth="1"/>
    <col min="27" max="27" width="13.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1"/>
      <c r="Q1" t="s">
        <v>46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6</v>
      </c>
      <c r="AA1" t="s">
        <v>54</v>
      </c>
      <c r="AB1" t="s">
        <v>34</v>
      </c>
      <c r="AC1" t="s">
        <v>35</v>
      </c>
      <c r="AD1" t="s">
        <v>36</v>
      </c>
    </row>
    <row r="2" spans="1:31" x14ac:dyDescent="0.25">
      <c r="A2">
        <v>1</v>
      </c>
      <c r="B2" s="2">
        <v>45496</v>
      </c>
      <c r="C2" s="2">
        <v>45505</v>
      </c>
      <c r="D2" t="s">
        <v>22</v>
      </c>
      <c r="E2">
        <f>C2-B2</f>
        <v>9</v>
      </c>
      <c r="F2" t="s">
        <v>23</v>
      </c>
      <c r="G2" t="str">
        <f>IF(E2&lt;=10,"semanal",IF(E2&lt;=16,"2 semanas",IF(E2&lt;=35,"Mensual",IF(E2&lt;=60,"2 Meses",IF(E2&lt;=98,"Trimestral",IF(E2&lt;=133,"Cuatrimestral",IF(E2&lt;=197,"Semestral",IF(E2&lt;= 220, "7 meses",IF(E2&lt;=277,"9 meses",IF(E2&lt;=372,"1 año"))))))))))</f>
        <v>semanal</v>
      </c>
      <c r="H2">
        <v>15.289</v>
      </c>
      <c r="I2">
        <v>14.8307</v>
      </c>
      <c r="J2">
        <v>15.045999999999999</v>
      </c>
      <c r="K2">
        <v>6</v>
      </c>
      <c r="L2" t="s">
        <v>24</v>
      </c>
      <c r="M2" t="s">
        <v>25</v>
      </c>
      <c r="N2" t="s">
        <v>26</v>
      </c>
      <c r="O2" s="10">
        <f>H2-H4</f>
        <v>1.1999999999989797E-3</v>
      </c>
      <c r="P2" s="10">
        <f t="shared" ref="P2:Q2" si="0">I2-I4</f>
        <v>1.9999999999953388E-4</v>
      </c>
      <c r="Q2" s="10">
        <f t="shared" si="0"/>
        <v>2.9999999999930083E-4</v>
      </c>
      <c r="R2">
        <f>A2</f>
        <v>1</v>
      </c>
      <c r="S2" s="4" cm="1">
        <f t="array" aca="1" ref="S2" ca="1">IF(OR(INDIRECT("H"&amp;(2+(ROWS($P$2:P2)-1)*3))=0,INDIRECT("H"&amp;(4+(ROWS($P$2:P2)-1)*3))=0),0,INDIRECT("H"&amp;(4+(ROWS($P$2:P2)-1)*3))/INDIRECT("H"&amp;(2+(ROWS($P$2:P2)-1)*3)))*100</f>
        <v>99.992151219831257</v>
      </c>
      <c r="T2" s="4" cm="1">
        <f t="array" aca="1" ref="T2" ca="1">IF(OR(INDIRECT("I"&amp;(2+(ROWS($P$2:R2)-1)*3))=0,INDIRECT("I"&amp;(4+(ROWS($P$2:R2)-1)*3))=0),0,INDIRECT("I"&amp;(4+(ROWS($P$2:R2)-1)*3))/INDIRECT("I"&amp;(2+(ROWS($P$2:R2)-1)*3)))*100</f>
        <v>99.998651445987036</v>
      </c>
      <c r="U2" s="4" cm="1">
        <f t="array" aca="1" ref="U2" ca="1">IF(OR(INDIRECT("J"&amp;(2+(ROWS($P$2:S2)-1)*3))=0,INDIRECT("J"&amp;(4+(ROWS($P$2:S2)-1)*3))=0),0,INDIRECT("J"&amp;(4+(ROWS($P$2:S2)-1)*3))/INDIRECT("J"&amp;(2+(ROWS($P$2:S2)-1)*3)))*100</f>
        <v>99.998006114581955</v>
      </c>
      <c r="V2" s="4" cm="1">
        <f t="array" aca="1" ref="V2" ca="1">IF(OR(INDIRECT("H"&amp;(3+(ROWS($P$2:T2)-1)*3))=0,INDIRECT("H"&amp;(4+(ROWS($P$2:T2)-1)*3))=0),0,INDIRECT("H"&amp;(4+(ROWS($P$2:T2)-1)*3))/INDIRECT("H"&amp;(3+(ROWS($P$2:T2)-1)*3)))*100</f>
        <v>100</v>
      </c>
      <c r="W2" s="4" cm="1">
        <f t="array" aca="1" ref="W2" ca="1">IF(OR(INDIRECT("I"&amp;(3+(ROWS($P$2:U2)-1)*3))=0,INDIRECT("I"&amp;(4+(ROWS($P$2:U2)-1)*3))=0),0,INDIRECT("I"&amp;(4+(ROWS($P$2:U2)-1)*3))/INDIRECT("I"&amp;(3+(ROWS($P$2:U2)-1)*3)))*100</f>
        <v>100</v>
      </c>
      <c r="X2" s="4" cm="1">
        <f t="array" aca="1" ref="X2" ca="1">IF(OR(INDIRECT("J"&amp;(3+(ROWS($P$2:V2)-1)*3))=0,INDIRECT("J"&amp;(4+(ROWS($P$2:V2)-1)*3))=0),0,INDIRECT("J"&amp;(4+(ROWS($P$2:V2)-1)*3))/INDIRECT("J"&amp;(3+(ROWS($P$2:V2)-1)*3)))*100</f>
        <v>99.998670734219957</v>
      </c>
      <c r="Y2" t="str" cm="1">
        <f t="array" aca="1" ref="Y2" ca="1">INDIRECT("G"&amp;(2+(ROWS($P$2:P2)-1)*3))</f>
        <v>semanal</v>
      </c>
      <c r="AB2" s="10" cm="1">
        <f t="array" aca="1" ref="AB2" ca="1">IF(OR(INDIRECT("H"&amp;(2+(ROWS($P$2:P2)-1)*3))=0,INDIRECT("H"&amp;(4+(ROWS($P$2:P2)-1)*3))=0),0,INDIRECT("H"&amp;(4+(ROWS($P$2:P2)-1)*3))-INDIRECT("H"&amp;(2+(ROWS($P$2:P2)-1)*3)))*-100</f>
        <v>0.11999999999989797</v>
      </c>
      <c r="AC2" s="10" cm="1">
        <f t="array" aca="1" ref="AC2" ca="1">IF(OR(INDIRECT("I"&amp;(2+(ROWS($P$2:R2)-1)*3))=0,INDIRECT("I"&amp;(4+(ROWS($P$2:R2)-1)*3))=0),0,INDIRECT("I"&amp;(4+(ROWS($P$2:R2)-1)*3))-INDIRECT("I"&amp;(2+(ROWS($P$2:R2)-1)*3)))*-100</f>
        <v>1.9999999999953388E-2</v>
      </c>
      <c r="AD2" s="10" cm="1">
        <f t="array" aca="1" ref="AD2" ca="1">IF(OR(INDIRECT("J"&amp;(2+(ROWS($P$2:S2)-1)*3))=0,INDIRECT("J"&amp;(4+(ROWS($P$2:S2)-1)*3))=0),0,INDIRECT("J"&amp;(4+(ROWS($P$2:S2)-1)*3))-INDIRECT("J"&amp;(2+(ROWS($P$2:S2)-1)*3)))*-100</f>
        <v>2.9999999999930083E-2</v>
      </c>
      <c r="AE2" t="str" cm="1">
        <f t="array" aca="1" ref="AE2" ca="1">INDIRECT("G"&amp;(2+(ROWS($P$2:W2)-1)*3))</f>
        <v>semanal</v>
      </c>
    </row>
    <row r="3" spans="1:31" x14ac:dyDescent="0.25">
      <c r="A3">
        <v>2</v>
      </c>
      <c r="B3" s="2">
        <v>45496</v>
      </c>
      <c r="C3" s="2">
        <v>45510</v>
      </c>
      <c r="D3" t="s">
        <v>27</v>
      </c>
      <c r="E3">
        <f t="shared" ref="E3:E66" si="1">C3-B3</f>
        <v>14</v>
      </c>
      <c r="F3" t="s">
        <v>23</v>
      </c>
      <c r="G3" t="str">
        <f t="shared" ref="G3:G66" si="2">IF(E3&lt;=10,"semanal",IF(E3&lt;=16,"2 semanas",IF(E3&lt;=35,"Mensual",IF(E3&lt;=60,"2 Meses",IF(E3&lt;=98,"Trimestral",IF(E3&lt;=133,"Cuatrimestral",IF(E3&lt;=197,"Semestral",IF(E3&lt;= 220, "7 meses",IF(E3&lt;=277,"9 meses",IF(E3&lt;=372,"1 año"))))))))))</f>
        <v>2 semanas</v>
      </c>
      <c r="H3">
        <v>15.287800000000001</v>
      </c>
      <c r="I3">
        <v>14.830500000000001</v>
      </c>
      <c r="J3">
        <v>15.0459</v>
      </c>
      <c r="K3">
        <v>6</v>
      </c>
      <c r="L3" t="s">
        <v>24</v>
      </c>
      <c r="M3" t="s">
        <v>25</v>
      </c>
      <c r="N3" t="s">
        <v>28</v>
      </c>
      <c r="O3" s="10">
        <f>H5-H7</f>
        <v>7.0000000000014495E-4</v>
      </c>
      <c r="P3" s="10">
        <f t="shared" ref="P3:Q3" si="3">I5-I7</f>
        <v>1.9999999999953388E-4</v>
      </c>
      <c r="Q3" s="10">
        <f t="shared" si="3"/>
        <v>3.9999999999906777E-4</v>
      </c>
      <c r="R3">
        <f>A3</f>
        <v>2</v>
      </c>
      <c r="S3" s="4" cm="1">
        <f t="array" aca="1" ref="S3" ca="1">IF(OR(INDIRECT("H"&amp;(2+(ROWS($Q$2:Q3)-1)*3))=0,INDIRECT("H"&amp;(4+(ROWS($Q$2:Q3)-1)*3))=0),0,INDIRECT("H"&amp;(4+(ROWS($Q$2:Q3)-1)*3))/INDIRECT("H"&amp;(2+(ROWS($Q$2:Q3)-1)*3)))*100</f>
        <v>99.995301761168392</v>
      </c>
      <c r="T3" s="4" cm="1">
        <f t="array" aca="1" ref="T3" ca="1">IF(OR(INDIRECT("I"&amp;(2+(ROWS($Q$2:R3)-1)*3))=0,INDIRECT("I"&amp;(4+(ROWS($Q$2:R3)-1)*3))=0),0,INDIRECT("I"&amp;(4+(ROWS($Q$2:R3)-1)*3))/INDIRECT("I"&amp;(2+(ROWS($Q$2:R3)-1)*3)))*100</f>
        <v>99.998633795793452</v>
      </c>
      <c r="U3" s="4" cm="1">
        <f t="array" aca="1" ref="U3" ca="1">IF(OR(INDIRECT("J"&amp;(2+(ROWS($Q$2:S3)-1)*3))=0,INDIRECT("J"&amp;(4+(ROWS($Q$2:S3)-1)*3))=0),0,INDIRECT("J"&amp;(4+(ROWS($Q$2:S3)-1)*3))/INDIRECT("J"&amp;(2+(ROWS($Q$2:S3)-1)*3)))*100</f>
        <v>99.997319735457907</v>
      </c>
      <c r="V3" s="4" cm="1">
        <f t="array" aca="1" ref="V3" ca="1">IF(OR(INDIRECT("H"&amp;(3+(ROWS($Q$2:T3)-1)*3))=0,INDIRECT("H"&amp;(4+(ROWS($Q$2:T3)-1)*3))=0),0,INDIRECT("H"&amp;(4+(ROWS($Q$2:T3)-1)*3))/INDIRECT("H"&amp;(3+(ROWS($Q$2:T3)-1)*3)))*100</f>
        <v>99.999328795994259</v>
      </c>
      <c r="W3" s="4" cm="1">
        <f t="array" aca="1" ref="W3" ca="1">IF(OR(INDIRECT("I"&amp;(3+(ROWS($Q$2:U3)-1)*3))=0,INDIRECT("I"&amp;(4+(ROWS($Q$2:U3)-1)*3))=0),0,INDIRECT("I"&amp;(4+(ROWS($Q$2:U3)-1)*3))/INDIRECT("I"&amp;(3+(ROWS($Q$2:U3)-1)*3)))*100</f>
        <v>99.999316893230414</v>
      </c>
      <c r="X3" s="4" cm="1">
        <f t="array" aca="1" ref="X3" ca="1">IF(OR(INDIRECT("J"&amp;(3+(ROWS($Q$2:V3)-1)*3))=0,INDIRECT("J"&amp;(4+(ROWS($Q$2:V3)-1)*3))=0),0,INDIRECT("J"&amp;(4+(ROWS($Q$2:V3)-1)*3))/INDIRECT("J"&amp;(3+(ROWS($Q$2:V3)-1)*3)))*100</f>
        <v>99.997319735457907</v>
      </c>
      <c r="Y3" t="str" cm="1">
        <f t="array" aca="1" ref="Y3" ca="1">INDIRECT("G"&amp;(2+(ROWS($Q$2:Q3)-1)*3))</f>
        <v>semanal</v>
      </c>
      <c r="AB3" s="10" cm="1">
        <f t="array" aca="1" ref="AB3" ca="1">IF(OR(INDIRECT("H"&amp;(2+(ROWS($Q$2:Q3)-1)*3))=0,INDIRECT("H"&amp;(4+(ROWS($Q$2:Q3)-1)*3))=0),0,INDIRECT("H"&amp;(4+(ROWS($Q$2:Q3)-1)*3))-INDIRECT("H"&amp;(2+(ROWS($Q$2:Q3)-1)*3)))*-100</f>
        <v>7.0000000000014495E-2</v>
      </c>
      <c r="AC3" s="10" cm="1">
        <f t="array" aca="1" ref="AC3" ca="1">IF(OR(INDIRECT("I"&amp;(2+(ROWS($Q$2:R3)-1)*3))=0,INDIRECT("I"&amp;(4+(ROWS($Q$2:R3)-1)*3))=0),0,INDIRECT("I"&amp;(4+(ROWS($Q$2:R3)-1)*3))-INDIRECT("I"&amp;(2+(ROWS($Q$2:R3)-1)*3)))*-100</f>
        <v>1.9999999999953388E-2</v>
      </c>
      <c r="AD3" s="10" cm="1">
        <f t="array" aca="1" ref="AD3" ca="1">IF(OR(INDIRECT("J"&amp;(2+(ROWS($Q$2:S3)-1)*3))=0,INDIRECT("J"&amp;(4+(ROWS($Q$2:S3)-1)*3))=0),0,INDIRECT("J"&amp;(4+(ROWS($Q$2:S3)-1)*3))-INDIRECT("J"&amp;(2+(ROWS($Q$2:S3)-1)*3)))*-100</f>
        <v>3.9999999999906777E-2</v>
      </c>
      <c r="AE3" t="str" cm="1">
        <f t="array" aca="1" ref="AE3" ca="1">INDIRECT("G"&amp;(2+(ROWS($Q$2:W3)-1)*3))</f>
        <v>semanal</v>
      </c>
    </row>
    <row r="4" spans="1:31" x14ac:dyDescent="0.25">
      <c r="A4">
        <v>2</v>
      </c>
      <c r="B4" s="2">
        <v>45496</v>
      </c>
      <c r="C4" s="2">
        <v>45510</v>
      </c>
      <c r="D4" t="s">
        <v>27</v>
      </c>
      <c r="E4">
        <f t="shared" si="1"/>
        <v>14</v>
      </c>
      <c r="F4" t="s">
        <v>23</v>
      </c>
      <c r="G4" t="str">
        <f t="shared" si="2"/>
        <v>2 semanas</v>
      </c>
      <c r="H4">
        <v>15.287800000000001</v>
      </c>
      <c r="I4">
        <v>14.830500000000001</v>
      </c>
      <c r="J4">
        <v>15.0457</v>
      </c>
      <c r="K4">
        <v>6</v>
      </c>
      <c r="L4" t="s">
        <v>29</v>
      </c>
      <c r="M4" t="s">
        <v>25</v>
      </c>
      <c r="N4" t="s">
        <v>28</v>
      </c>
      <c r="O4" s="10">
        <f>H8-H10</f>
        <v>7.9999999999991189E-4</v>
      </c>
      <c r="P4" s="10">
        <f t="shared" ref="P4:Q4" si="4">I8-I10</f>
        <v>8.0000000000168825E-4</v>
      </c>
      <c r="Q4" s="10">
        <f t="shared" si="4"/>
        <v>1.1000000000009891E-3</v>
      </c>
      <c r="R4">
        <f>A6</f>
        <v>3</v>
      </c>
      <c r="S4" s="4" cm="1">
        <f t="array" aca="1" ref="S4" ca="1">IF(OR(INDIRECT("H"&amp;(2+(ROWS($Q$2:Q4)-1)*3))=0,INDIRECT("H"&amp;(4+(ROWS($Q$2:Q4)-1)*3))=0),0,INDIRECT("H"&amp;(4+(ROWS($Q$2:Q4)-1)*3))/INDIRECT("H"&amp;(2+(ROWS($Q$2:Q4)-1)*3)))*100</f>
        <v>99.994472924237613</v>
      </c>
      <c r="T4" s="4" cm="1">
        <f t="array" aca="1" ref="T4" ca="1">IF(OR(INDIRECT("I"&amp;(2+(ROWS($Q$2:R4)-1)*3))=0,INDIRECT("I"&amp;(4+(ROWS($Q$2:R4)-1)*3))=0),0,INDIRECT("I"&amp;(4+(ROWS($Q$2:R4)-1)*3))/INDIRECT("I"&amp;(2+(ROWS($Q$2:R4)-1)*3)))*100</f>
        <v>99.994611778651858</v>
      </c>
      <c r="U4" s="4" cm="1">
        <f t="array" aca="1" ref="U4" ca="1">IF(OR(INDIRECT("J"&amp;(2+(ROWS($Q$2:S4)-1)*3))=0,INDIRECT("J"&amp;(4+(ROWS($Q$2:S4)-1)*3))=0),0,INDIRECT("J"&amp;(4+(ROWS($Q$2:S4)-1)*3))/INDIRECT("J"&amp;(2+(ROWS($Q$2:S4)-1)*3)))*100</f>
        <v>99.992904919470831</v>
      </c>
      <c r="V4" s="4" cm="1">
        <f t="array" aca="1" ref="V4" ca="1">IF(OR(INDIRECT("H"&amp;(3+(ROWS($Q$2:T4)-1)*3))=0,INDIRECT("H"&amp;(4+(ROWS($Q$2:T4)-1)*3))=0),0,INDIRECT("H"&amp;(4+(ROWS($Q$2:T4)-1)*3))/INDIRECT("H"&amp;(3+(ROWS($Q$2:T4)-1)*3)))*100</f>
        <v>99.995854635898851</v>
      </c>
      <c r="W4" s="4" cm="1">
        <f t="array" aca="1" ref="W4" ca="1">IF(OR(INDIRECT("I"&amp;(3+(ROWS($Q$2:U4)-1)*3))=0,INDIRECT("I"&amp;(4+(ROWS($Q$2:U4)-1)*3))=0),0,INDIRECT("I"&amp;(4+(ROWS($Q$2:U4)-1)*3))/INDIRECT("I"&amp;(3+(ROWS($Q$2:U4)-1)*3)))*100</f>
        <v>99.995958779551415</v>
      </c>
      <c r="X4" s="4" cm="1">
        <f t="array" aca="1" ref="X4" ca="1">IF(OR(INDIRECT("J"&amp;(3+(ROWS($Q$2:V4)-1)*3))=0,INDIRECT("J"&amp;(4+(ROWS($Q$2:V4)-1)*3))=0),0,INDIRECT("J"&amp;(4+(ROWS($Q$2:V4)-1)*3))/INDIRECT("J"&amp;(3+(ROWS($Q$2:V4)-1)*3)))*100</f>
        <v>99.993549885187946</v>
      </c>
      <c r="Y4" t="str" cm="1">
        <f t="array" aca="1" ref="Y4" ca="1">INDIRECT("G"&amp;(2+(ROWS($Q$2:Q4)-1)*3))</f>
        <v>Mensual</v>
      </c>
      <c r="AB4" s="10" cm="1">
        <f t="array" aca="1" ref="AB4" ca="1">IF(OR(INDIRECT("H"&amp;(2+(ROWS($Q$2:Q4)-1)*3))=0,INDIRECT("H"&amp;(4+(ROWS($Q$2:Q4)-1)*3))=0),0,INDIRECT("H"&amp;(4+(ROWS($Q$2:Q4)-1)*3))-INDIRECT("H"&amp;(2+(ROWS($Q$2:Q4)-1)*3)))*-100</f>
        <v>7.9999999999991189E-2</v>
      </c>
      <c r="AC4" s="10" cm="1">
        <f t="array" aca="1" ref="AC4" ca="1">IF(OR(INDIRECT("I"&amp;(2+(ROWS($Q$2:R4)-1)*3))=0,INDIRECT("I"&amp;(4+(ROWS($Q$2:R4)-1)*3))=0),0,INDIRECT("I"&amp;(4+(ROWS($Q$2:R4)-1)*3))-INDIRECT("I"&amp;(2+(ROWS($Q$2:R4)-1)*3)))*-100</f>
        <v>8.0000000000168825E-2</v>
      </c>
      <c r="AD4" s="10" cm="1">
        <f t="array" aca="1" ref="AD4" ca="1">IF(OR(INDIRECT("J"&amp;(2+(ROWS($Q$2:S4)-1)*3))=0,INDIRECT("J"&amp;(4+(ROWS($Q$2:S4)-1)*3))=0),0,INDIRECT("J"&amp;(4+(ROWS($Q$2:S4)-1)*3))-INDIRECT("J"&amp;(2+(ROWS($Q$2:S4)-1)*3)))*-100</f>
        <v>0.11000000000009891</v>
      </c>
      <c r="AE4" t="str" cm="1">
        <f t="array" aca="1" ref="AE4" ca="1">INDIRECT("G"&amp;(2+(ROWS($Q$2:W4)-1)*3))</f>
        <v>Mensual</v>
      </c>
    </row>
    <row r="5" spans="1:31" x14ac:dyDescent="0.25">
      <c r="A5">
        <v>2</v>
      </c>
      <c r="B5" s="2">
        <v>45505</v>
      </c>
      <c r="C5" s="2">
        <v>45510</v>
      </c>
      <c r="D5" t="s">
        <v>22</v>
      </c>
      <c r="E5">
        <f t="shared" si="1"/>
        <v>5</v>
      </c>
      <c r="F5" t="s">
        <v>23</v>
      </c>
      <c r="G5" t="str">
        <f t="shared" si="2"/>
        <v>semanal</v>
      </c>
      <c r="H5">
        <v>14.8992</v>
      </c>
      <c r="I5">
        <v>14.639099999999999</v>
      </c>
      <c r="J5">
        <v>14.9239</v>
      </c>
      <c r="K5">
        <v>6</v>
      </c>
      <c r="L5" t="s">
        <v>24</v>
      </c>
      <c r="M5" t="s">
        <v>25</v>
      </c>
      <c r="N5" t="s">
        <v>28</v>
      </c>
      <c r="O5" s="10">
        <f>H11-H13</f>
        <v>1.0999999999992127E-3</v>
      </c>
      <c r="P5" s="10">
        <f t="shared" ref="P5:Q5" si="5">I11-I13</f>
        <v>15.532</v>
      </c>
      <c r="Q5" s="10">
        <f t="shared" si="5"/>
        <v>5.9999999999860165E-4</v>
      </c>
      <c r="R5">
        <f>A9</f>
        <v>5</v>
      </c>
      <c r="S5" s="4" cm="1">
        <f t="array" aca="1" ref="S5" ca="1">IF(OR(INDIRECT("H"&amp;(2+(ROWS($Q$2:Q5)-1)*3))=0,INDIRECT("H"&amp;(4+(ROWS($Q$2:Q5)-1)*3))=0),0,INDIRECT("H"&amp;(4+(ROWS($Q$2:Q5)-1)*3))/INDIRECT("H"&amp;(2+(ROWS($Q$2:Q5)-1)*3)))*100</f>
        <v>99.992695058539155</v>
      </c>
      <c r="T5" s="4" cm="1">
        <f t="array" aca="1" ref="T5" ca="1">IF(OR(INDIRECT("I"&amp;(2+(ROWS($Q$2:R5)-1)*3))=0,INDIRECT("I"&amp;(4+(ROWS($Q$2:R5)-1)*3))=0),0,INDIRECT("I"&amp;(4+(ROWS($Q$2:R5)-1)*3))/INDIRECT("I"&amp;(2+(ROWS($Q$2:R5)-1)*3)))*100</f>
        <v>0</v>
      </c>
      <c r="U5" s="4" cm="1">
        <f t="array" aca="1" ref="U5" ca="1">IF(OR(INDIRECT("J"&amp;(2+(ROWS($Q$2:S5)-1)*3))=0,INDIRECT("J"&amp;(4+(ROWS($Q$2:S5)-1)*3))=0),0,INDIRECT("J"&amp;(4+(ROWS($Q$2:S5)-1)*3))/INDIRECT("J"&amp;(2+(ROWS($Q$2:S5)-1)*3)))*100</f>
        <v>99.995870640945355</v>
      </c>
      <c r="V5" s="4" cm="1">
        <f t="array" aca="1" ref="V5" ca="1">IF(OR(INDIRECT("H"&amp;(3+(ROWS($Q$2:T5)-1)*3))=0,INDIRECT("H"&amp;(4+(ROWS($Q$2:T5)-1)*3))=0),0,INDIRECT("H"&amp;(4+(ROWS($Q$2:T5)-1)*3))/INDIRECT("H"&amp;(3+(ROWS($Q$2:T5)-1)*3)))*100</f>
        <v>99.992695058539155</v>
      </c>
      <c r="W5" s="4" cm="1">
        <f t="array" aca="1" ref="W5" ca="1">IF(OR(INDIRECT("I"&amp;(3+(ROWS($Q$2:U5)-1)*3))=0,INDIRECT("I"&amp;(4+(ROWS($Q$2:U5)-1)*3))=0),0,INDIRECT("I"&amp;(4+(ROWS($Q$2:U5)-1)*3))/INDIRECT("I"&amp;(3+(ROWS($Q$2:U5)-1)*3)))*100</f>
        <v>0</v>
      </c>
      <c r="X5" s="4" cm="1">
        <f t="array" aca="1" ref="X5" ca="1">IF(OR(INDIRECT("J"&amp;(3+(ROWS($Q$2:V5)-1)*3))=0,INDIRECT("J"&amp;(4+(ROWS($Q$2:V5)-1)*3))=0),0,INDIRECT("J"&amp;(4+(ROWS($Q$2:V5)-1)*3))/INDIRECT("J"&amp;(3+(ROWS($Q$2:V5)-1)*3)))*100</f>
        <v>99.993806089302424</v>
      </c>
      <c r="Y5" t="str" cm="1">
        <f t="array" aca="1" ref="Y5" ca="1">INDIRECT("G"&amp;(2+(ROWS($Q$2:Q5)-1)*3))</f>
        <v>Mensual</v>
      </c>
      <c r="AB5" s="10" cm="1">
        <f t="array" aca="1" ref="AB5" ca="1">IF(OR(INDIRECT("H"&amp;(2+(ROWS($Q$2:Q5)-1)*3))=0,INDIRECT("H"&amp;(4+(ROWS($Q$2:Q5)-1)*3))=0),0,INDIRECT("H"&amp;(4+(ROWS($Q$2:Q5)-1)*3))-INDIRECT("H"&amp;(2+(ROWS($Q$2:Q5)-1)*3)))*-100</f>
        <v>0.10999999999992127</v>
      </c>
      <c r="AC5" s="10" cm="1">
        <f t="array" aca="1" ref="AC5" ca="1">IF(OR(INDIRECT("I"&amp;(2+(ROWS($Q$2:R5)-1)*3))=0,INDIRECT("I"&amp;(4+(ROWS($Q$2:R5)-1)*3))=0),0,INDIRECT("I"&amp;(4+(ROWS($Q$2:R5)-1)*3))-INDIRECT("I"&amp;(2+(ROWS($Q$2:R5)-1)*3)))*-100</f>
        <v>0</v>
      </c>
      <c r="AD5" s="10" cm="1">
        <f t="array" aca="1" ref="AD5" ca="1">IF(OR(INDIRECT("J"&amp;(2+(ROWS($Q$2:S5)-1)*3))=0,INDIRECT("J"&amp;(4+(ROWS($Q$2:S5)-1)*3))=0),0,INDIRECT("J"&amp;(4+(ROWS($Q$2:S5)-1)*3))-INDIRECT("J"&amp;(2+(ROWS($Q$2:S5)-1)*3)))*-100</f>
        <v>5.9999999999860165E-2</v>
      </c>
      <c r="AE5" t="str" cm="1">
        <f t="array" aca="1" ref="AE5" ca="1">INDIRECT("G"&amp;(2+(ROWS($Q$2:W5)-1)*3))</f>
        <v>Mensual</v>
      </c>
    </row>
    <row r="6" spans="1:31" x14ac:dyDescent="0.25">
      <c r="A6">
        <v>3</v>
      </c>
      <c r="B6" s="2">
        <v>45505</v>
      </c>
      <c r="C6" s="2">
        <v>45517</v>
      </c>
      <c r="D6" t="s">
        <v>27</v>
      </c>
      <c r="E6">
        <f t="shared" si="1"/>
        <v>12</v>
      </c>
      <c r="F6" t="s">
        <v>23</v>
      </c>
      <c r="G6" t="str">
        <f t="shared" si="2"/>
        <v>2 semanas</v>
      </c>
      <c r="H6">
        <v>14.8986</v>
      </c>
      <c r="I6">
        <v>14.638999999999999</v>
      </c>
      <c r="J6">
        <v>14.9239</v>
      </c>
      <c r="K6">
        <v>6</v>
      </c>
      <c r="L6" t="s">
        <v>24</v>
      </c>
      <c r="M6" t="s">
        <v>25</v>
      </c>
      <c r="N6" t="s">
        <v>30</v>
      </c>
      <c r="O6" s="10">
        <f>H14-H16</f>
        <v>9.9999999999766942E-5</v>
      </c>
      <c r="P6" s="10">
        <f t="shared" ref="P6:Q6" si="6">I14-I16</f>
        <v>1.9999999999953388E-4</v>
      </c>
      <c r="Q6" s="10">
        <f t="shared" si="6"/>
        <v>5.0000000000061107E-4</v>
      </c>
      <c r="R6">
        <f>A12</f>
        <v>6</v>
      </c>
      <c r="S6" s="4" cm="1">
        <f t="array" aca="1" ref="S6" ca="1">IF(OR(INDIRECT("H"&amp;(2+(ROWS($Q$2:Q6)-1)*3))=0,INDIRECT("H"&amp;(4+(ROWS($Q$2:Q6)-1)*3))=0),0,INDIRECT("H"&amp;(4+(ROWS($Q$2:Q6)-1)*3))/INDIRECT("H"&amp;(2+(ROWS($Q$2:Q6)-1)*3)))*100</f>
        <v>99.999328768962286</v>
      </c>
      <c r="T6" s="4" cm="1">
        <f t="array" aca="1" ref="T6" ca="1">IF(OR(INDIRECT("I"&amp;(2+(ROWS($Q$2:R6)-1)*3))=0,INDIRECT("I"&amp;(4+(ROWS($Q$2:R6)-1)*3))=0),0,INDIRECT("I"&amp;(4+(ROWS($Q$2:R6)-1)*3))/INDIRECT("I"&amp;(2+(ROWS($Q$2:R6)-1)*3)))*100</f>
        <v>99.998633786460829</v>
      </c>
      <c r="U6" s="4" cm="1">
        <f t="array" aca="1" ref="U6" ca="1">IF(OR(INDIRECT("J"&amp;(2+(ROWS($Q$2:S6)-1)*3))=0,INDIRECT("J"&amp;(4+(ROWS($Q$2:S6)-1)*3))=0),0,INDIRECT("J"&amp;(4+(ROWS($Q$2:S6)-1)*3))/INDIRECT("J"&amp;(2+(ROWS($Q$2:S6)-1)*3)))*100</f>
        <v>99.996649467265286</v>
      </c>
      <c r="V6" s="4" cm="1">
        <f t="array" aca="1" ref="V6" ca="1">IF(OR(INDIRECT("H"&amp;(3+(ROWS($Q$2:T6)-1)*3))=0,INDIRECT("H"&amp;(4+(ROWS($Q$2:T6)-1)*3))=0),0,INDIRECT("H"&amp;(4+(ROWS($Q$2:T6)-1)*3))/INDIRECT("H"&amp;(3+(ROWS($Q$2:T6)-1)*3)))*100</f>
        <v>99.998657546935519</v>
      </c>
      <c r="W6" s="4" cm="1">
        <f t="array" aca="1" ref="W6" ca="1">IF(OR(INDIRECT("I"&amp;(3+(ROWS($Q$2:U6)-1)*3))=0,INDIRECT("I"&amp;(4+(ROWS($Q$2:U6)-1)*3))=0),0,INDIRECT("I"&amp;(4+(ROWS($Q$2:U6)-1)*3))/INDIRECT("I"&amp;(3+(ROWS($Q$2:U6)-1)*3)))*100</f>
        <v>99.998633786460829</v>
      </c>
      <c r="X6" s="4" cm="1">
        <f t="array" aca="1" ref="X6" ca="1">IF(OR(INDIRECT("J"&amp;(3+(ROWS($Q$2:V6)-1)*3))=0,INDIRECT("J"&amp;(4+(ROWS($Q$2:V6)-1)*3))=0),0,INDIRECT("J"&amp;(4+(ROWS($Q$2:V6)-1)*3))/INDIRECT("J"&amp;(3+(ROWS($Q$2:V6)-1)*3)))*100</f>
        <v>99.995979387660739</v>
      </c>
      <c r="Y6" t="str" cm="1">
        <f t="array" aca="1" ref="Y6" ca="1">INDIRECT("G"&amp;(2+(ROWS($Q$2:Q6)-1)*3))</f>
        <v>semanal</v>
      </c>
      <c r="AB6" s="10" cm="1">
        <f t="array" aca="1" ref="AB6" ca="1">IF(OR(INDIRECT("H"&amp;(2+(ROWS($Q$2:Q6)-1)*3))=0,INDIRECT("H"&amp;(4+(ROWS($Q$2:Q6)-1)*3))=0),0,INDIRECT("H"&amp;(4+(ROWS($Q$2:Q6)-1)*3))-INDIRECT("H"&amp;(2+(ROWS($Q$2:Q6)-1)*3)))*-100</f>
        <v>9.9999999999766942E-3</v>
      </c>
      <c r="AC6" s="10" cm="1">
        <f t="array" aca="1" ref="AC6" ca="1">IF(OR(INDIRECT("I"&amp;(2+(ROWS($Q$2:R6)-1)*3))=0,INDIRECT("I"&amp;(4+(ROWS($Q$2:R6)-1)*3))=0),0,INDIRECT("I"&amp;(4+(ROWS($Q$2:R6)-1)*3))-INDIRECT("I"&amp;(2+(ROWS($Q$2:R6)-1)*3)))*-100</f>
        <v>1.9999999999953388E-2</v>
      </c>
      <c r="AD6" s="10" cm="1">
        <f t="array" aca="1" ref="AD6" ca="1">IF(OR(INDIRECT("J"&amp;(2+(ROWS($Q$2:S6)-1)*3))=0,INDIRECT("J"&amp;(4+(ROWS($Q$2:S6)-1)*3))=0),0,INDIRECT("J"&amp;(4+(ROWS($Q$2:S6)-1)*3))-INDIRECT("J"&amp;(2+(ROWS($Q$2:S6)-1)*3)))*-100</f>
        <v>5.0000000000061107E-2</v>
      </c>
      <c r="AE6" t="str" cm="1">
        <f t="array" aca="1" ref="AE6" ca="1">INDIRECT("G"&amp;(2+(ROWS($Q$2:W6)-1)*3))</f>
        <v>semanal</v>
      </c>
    </row>
    <row r="7" spans="1:31" x14ac:dyDescent="0.25">
      <c r="A7">
        <v>3</v>
      </c>
      <c r="B7" s="2">
        <v>45505</v>
      </c>
      <c r="C7" s="2">
        <v>45517</v>
      </c>
      <c r="D7" t="s">
        <v>27</v>
      </c>
      <c r="E7">
        <f t="shared" si="1"/>
        <v>12</v>
      </c>
      <c r="F7" t="s">
        <v>23</v>
      </c>
      <c r="G7" t="str">
        <f t="shared" si="2"/>
        <v>2 semanas</v>
      </c>
      <c r="H7">
        <v>14.8985</v>
      </c>
      <c r="I7">
        <v>14.6389</v>
      </c>
      <c r="J7">
        <v>14.923500000000001</v>
      </c>
      <c r="K7">
        <v>6</v>
      </c>
      <c r="L7" t="s">
        <v>29</v>
      </c>
      <c r="M7" t="s">
        <v>25</v>
      </c>
      <c r="N7" t="s">
        <v>30</v>
      </c>
      <c r="O7" s="10">
        <f>H17-H19</f>
        <v>6.0000000000037801E-4</v>
      </c>
      <c r="P7" s="10">
        <f t="shared" ref="P7:Q7" si="7">I17-I19</f>
        <v>0</v>
      </c>
      <c r="Q7" s="10">
        <f t="shared" si="7"/>
        <v>5.9999999999860165E-4</v>
      </c>
      <c r="R7">
        <f>A15</f>
        <v>7</v>
      </c>
      <c r="S7" s="4" cm="1">
        <f t="array" aca="1" ref="S7" ca="1">IF(OR(INDIRECT("H"&amp;(2+(ROWS($Q$2:Q7)-1)*3))=0,INDIRECT("H"&amp;(4+(ROWS($Q$2:Q7)-1)*3))=0),0,INDIRECT("H"&amp;(4+(ROWS($Q$2:Q7)-1)*3))/INDIRECT("H"&amp;(2+(ROWS($Q$2:Q7)-1)*3)))*100</f>
        <v>99.99601511599333</v>
      </c>
      <c r="T7" s="4" cm="1">
        <f t="array" aca="1" ref="T7" ca="1">IF(OR(INDIRECT("I"&amp;(2+(ROWS($Q$2:R7)-1)*3))=0,INDIRECT("I"&amp;(4+(ROWS($Q$2:R7)-1)*3))=0),0,INDIRECT("I"&amp;(4+(ROWS($Q$2:R7)-1)*3))/INDIRECT("I"&amp;(2+(ROWS($Q$2:R7)-1)*3)))*100</f>
        <v>0</v>
      </c>
      <c r="U7" s="4" cm="1">
        <f t="array" aca="1" ref="U7" ca="1">IF(OR(INDIRECT("J"&amp;(2+(ROWS($Q$2:S7)-1)*3))=0,INDIRECT("J"&amp;(4+(ROWS($Q$2:S7)-1)*3))=0),0,INDIRECT("J"&amp;(4+(ROWS($Q$2:S7)-1)*3))/INDIRECT("J"&amp;(2+(ROWS($Q$2:S7)-1)*3)))*100</f>
        <v>99.995870640945355</v>
      </c>
      <c r="V7" s="4" cm="1">
        <f t="array" aca="1" ref="V7" ca="1">IF(OR(INDIRECT("H"&amp;(3+(ROWS($Q$2:T7)-1)*3))=0,INDIRECT("H"&amp;(4+(ROWS($Q$2:T7)-1)*3))=0),0,INDIRECT("H"&amp;(4+(ROWS($Q$2:T7)-1)*3))/INDIRECT("H"&amp;(3+(ROWS($Q$2:T7)-1)*3)))*100</f>
        <v>99.995350999535106</v>
      </c>
      <c r="W7" s="4" cm="1">
        <f t="array" aca="1" ref="W7" ca="1">IF(OR(INDIRECT("I"&amp;(3+(ROWS($Q$2:U7)-1)*3))=0,INDIRECT("I"&amp;(4+(ROWS($Q$2:U7)-1)*3))=0),0,INDIRECT("I"&amp;(4+(ROWS($Q$2:U7)-1)*3))/INDIRECT("I"&amp;(3+(ROWS($Q$2:U7)-1)*3)))*100</f>
        <v>0</v>
      </c>
      <c r="X7" s="4" cm="1">
        <f t="array" aca="1" ref="X7" ca="1">IF(OR(INDIRECT("J"&amp;(3+(ROWS($Q$2:V7)-1)*3))=0,INDIRECT("J"&amp;(4+(ROWS($Q$2:V7)-1)*3))=0),0,INDIRECT("J"&amp;(4+(ROWS($Q$2:V7)-1)*3))/INDIRECT("J"&amp;(3+(ROWS($Q$2:V7)-1)*3)))*100</f>
        <v>99.995182447591915</v>
      </c>
      <c r="Y7" t="str" cm="1">
        <f t="array" aca="1" ref="Y7" ca="1">INDIRECT("G"&amp;(2+(ROWS($Q$2:Q7)-1)*3))</f>
        <v>semanal</v>
      </c>
      <c r="AB7" s="10" cm="1">
        <f t="array" aca="1" ref="AB7" ca="1">IF(OR(INDIRECT("H"&amp;(2+(ROWS($Q$2:Q7)-1)*3))=0,INDIRECT("H"&amp;(4+(ROWS($Q$2:Q7)-1)*3))=0),0,INDIRECT("H"&amp;(4+(ROWS($Q$2:Q7)-1)*3))-INDIRECT("H"&amp;(2+(ROWS($Q$2:Q7)-1)*3)))*-100</f>
        <v>6.0000000000037801E-2</v>
      </c>
      <c r="AC7" s="10" cm="1">
        <f t="array" aca="1" ref="AC7" ca="1">IF(OR(INDIRECT("I"&amp;(2+(ROWS($Q$2:R7)-1)*3))=0,INDIRECT("I"&amp;(4+(ROWS($Q$2:R7)-1)*3))=0),0,INDIRECT("I"&amp;(4+(ROWS($Q$2:R7)-1)*3))-INDIRECT("I"&amp;(2+(ROWS($Q$2:R7)-1)*3)))*-100</f>
        <v>0</v>
      </c>
      <c r="AD7" s="10" cm="1">
        <f t="array" aca="1" ref="AD7" ca="1">IF(OR(INDIRECT("J"&amp;(2+(ROWS($Q$2:S7)-1)*3))=0,INDIRECT("J"&amp;(4+(ROWS($Q$2:S7)-1)*3))=0),0,INDIRECT("J"&amp;(4+(ROWS($Q$2:S7)-1)*3))-INDIRECT("J"&amp;(2+(ROWS($Q$2:S7)-1)*3)))*-100</f>
        <v>5.9999999999860165E-2</v>
      </c>
      <c r="AE7" t="str" cm="1">
        <f t="array" aca="1" ref="AE7" ca="1">INDIRECT("G"&amp;(2+(ROWS($Q$2:W7)-1)*3))</f>
        <v>semanal</v>
      </c>
    </row>
    <row r="8" spans="1:31" x14ac:dyDescent="0.25">
      <c r="A8">
        <v>3</v>
      </c>
      <c r="B8" s="2">
        <v>45496</v>
      </c>
      <c r="C8" s="2">
        <v>45517</v>
      </c>
      <c r="D8" t="s">
        <v>22</v>
      </c>
      <c r="E8">
        <f t="shared" si="1"/>
        <v>21</v>
      </c>
      <c r="F8" t="s">
        <v>23</v>
      </c>
      <c r="G8" t="str">
        <f t="shared" si="2"/>
        <v>Mensual</v>
      </c>
      <c r="H8">
        <v>14.4742</v>
      </c>
      <c r="I8">
        <v>14.847200000000001</v>
      </c>
      <c r="J8">
        <v>15.5037</v>
      </c>
      <c r="K8">
        <v>1</v>
      </c>
      <c r="L8" t="s">
        <v>24</v>
      </c>
      <c r="M8" t="s">
        <v>25</v>
      </c>
      <c r="N8" t="s">
        <v>30</v>
      </c>
      <c r="O8" s="10">
        <f>H20-H22</f>
        <v>2.9999999999930083E-4</v>
      </c>
      <c r="P8" s="10">
        <f t="shared" ref="P8:Q8" si="8">I20-I22</f>
        <v>8.9999999999967883E-4</v>
      </c>
      <c r="Q8" s="10">
        <f t="shared" si="8"/>
        <v>7.0000000000014495E-4</v>
      </c>
      <c r="R8">
        <f>A18</f>
        <v>8</v>
      </c>
      <c r="S8" s="4" cm="1">
        <f t="array" aca="1" ref="S8" ca="1">IF(OR(INDIRECT("H"&amp;(2+(ROWS($Q$2:Q8)-1)*3))=0,INDIRECT("H"&amp;(4+(ROWS($Q$2:Q8)-1)*3))=0),0,INDIRECT("H"&amp;(4+(ROWS($Q$2:Q8)-1)*3))/INDIRECT("H"&amp;(2+(ROWS($Q$2:Q8)-1)*3)))*100</f>
        <v>99.99798630688683</v>
      </c>
      <c r="T8" s="4" cm="1">
        <f t="array" aca="1" ref="T8" ca="1">IF(OR(INDIRECT("I"&amp;(2+(ROWS($Q$2:R8)-1)*3))=0,INDIRECT("I"&amp;(4+(ROWS($Q$2:R8)-1)*3))=0),0,INDIRECT("I"&amp;(4+(ROWS($Q$2:R8)-1)*3))/INDIRECT("I"&amp;(2+(ROWS($Q$2:R8)-1)*3)))*100</f>
        <v>99.993852165062535</v>
      </c>
      <c r="U8" s="4" cm="1">
        <f t="array" aca="1" ref="U8" ca="1">IF(OR(INDIRECT("J"&amp;(2+(ROWS($Q$2:S8)-1)*3))=0,INDIRECT("J"&amp;(4+(ROWS($Q$2:S8)-1)*3))=0),0,INDIRECT("J"&amp;(4+(ROWS($Q$2:S8)-1)*3))/INDIRECT("J"&amp;(2+(ROWS($Q$2:S8)-1)*3)))*100</f>
        <v>99.995308625427242</v>
      </c>
      <c r="V8" s="4" cm="1">
        <f t="array" aca="1" ref="V8" ca="1">IF(OR(INDIRECT("H"&amp;(3+(ROWS($Q$2:T8)-1)*3))=0,INDIRECT("H"&amp;(4+(ROWS($Q$2:T8)-1)*3))=0),0,INDIRECT("H"&amp;(4+(ROWS($Q$2:T8)-1)*3))/INDIRECT("H"&amp;(3+(ROWS($Q$2:T8)-1)*3)))*100</f>
        <v>99.99932875995114</v>
      </c>
      <c r="W8" s="4" cm="1">
        <f t="array" aca="1" ref="W8" ca="1">IF(OR(INDIRECT("I"&amp;(3+(ROWS($Q$2:U8)-1)*3))=0,INDIRECT("I"&amp;(4+(ROWS($Q$2:U8)-1)*3))=0),0,INDIRECT("I"&amp;(4+(ROWS($Q$2:U8)-1)*3))/INDIRECT("I"&amp;(3+(ROWS($Q$2:U8)-1)*3)))*100</f>
        <v>99.995901359382472</v>
      </c>
      <c r="X8" s="4" cm="1">
        <f t="array" aca="1" ref="X8" ca="1">IF(OR(INDIRECT("J"&amp;(3+(ROWS($Q$2:V8)-1)*3))=0,INDIRECT("J"&amp;(4+(ROWS($Q$2:V8)-1)*3))=0),0,INDIRECT("J"&amp;(4+(ROWS($Q$2:V8)-1)*3))/INDIRECT("J"&amp;(3+(ROWS($Q$2:V8)-1)*3)))*100</f>
        <v>99.996648973245399</v>
      </c>
      <c r="Y8" t="str" cm="1">
        <f t="array" aca="1" ref="Y8" ca="1">INDIRECT("G"&amp;(2+(ROWS($Q$2:Q8)-1)*3))</f>
        <v>semanal</v>
      </c>
      <c r="AB8" s="10" cm="1">
        <f t="array" aca="1" ref="AB8" ca="1">IF(OR(INDIRECT("H"&amp;(2+(ROWS($Q$2:Q8)-1)*3))=0,INDIRECT("H"&amp;(4+(ROWS($Q$2:Q8)-1)*3))=0),0,INDIRECT("H"&amp;(4+(ROWS($Q$2:Q8)-1)*3))-INDIRECT("H"&amp;(2+(ROWS($Q$2:Q8)-1)*3)))*-100</f>
        <v>2.9999999999930083E-2</v>
      </c>
      <c r="AC8" s="10" cm="1">
        <f t="array" aca="1" ref="AC8" ca="1">IF(OR(INDIRECT("I"&amp;(2+(ROWS($Q$2:R8)-1)*3))=0,INDIRECT("I"&amp;(4+(ROWS($Q$2:R8)-1)*3))=0),0,INDIRECT("I"&amp;(4+(ROWS($Q$2:R8)-1)*3))-INDIRECT("I"&amp;(2+(ROWS($Q$2:R8)-1)*3)))*-100</f>
        <v>8.9999999999967883E-2</v>
      </c>
      <c r="AD8" s="10" cm="1">
        <f t="array" aca="1" ref="AD8" ca="1">IF(OR(INDIRECT("J"&amp;(2+(ROWS($Q$2:S8)-1)*3))=0,INDIRECT("J"&amp;(4+(ROWS($Q$2:S8)-1)*3))=0),0,INDIRECT("J"&amp;(4+(ROWS($Q$2:S8)-1)*3))-INDIRECT("J"&amp;(2+(ROWS($Q$2:S8)-1)*3)))*-100</f>
        <v>7.0000000000014495E-2</v>
      </c>
      <c r="AE8" t="str" cm="1">
        <f t="array" aca="1" ref="AE8" ca="1">INDIRECT("G"&amp;(2+(ROWS($Q$2:W8)-1)*3))</f>
        <v>semanal</v>
      </c>
    </row>
    <row r="9" spans="1:31" x14ac:dyDescent="0.25">
      <c r="A9">
        <v>5</v>
      </c>
      <c r="B9" s="2">
        <v>45496</v>
      </c>
      <c r="C9" s="2">
        <v>45531</v>
      </c>
      <c r="D9" t="s">
        <v>27</v>
      </c>
      <c r="E9">
        <f t="shared" si="1"/>
        <v>35</v>
      </c>
      <c r="F9" t="s">
        <v>23</v>
      </c>
      <c r="G9" t="str">
        <f t="shared" si="2"/>
        <v>Mensual</v>
      </c>
      <c r="H9">
        <v>14.474</v>
      </c>
      <c r="I9">
        <v>14.847</v>
      </c>
      <c r="J9">
        <v>15.5036</v>
      </c>
      <c r="K9">
        <v>1</v>
      </c>
      <c r="L9" t="s">
        <v>24</v>
      </c>
      <c r="M9" t="s">
        <v>25</v>
      </c>
      <c r="N9" t="s">
        <v>31</v>
      </c>
      <c r="O9" s="10">
        <f>H23-H25</f>
        <v>3.0000000000107718E-4</v>
      </c>
      <c r="P9" s="10">
        <f t="shared" ref="P9:Q9" si="9">I23-I25</f>
        <v>0</v>
      </c>
      <c r="Q9" s="10">
        <f t="shared" si="9"/>
        <v>9.9999999999766942E-5</v>
      </c>
      <c r="R9">
        <f>A21</f>
        <v>9</v>
      </c>
      <c r="S9" s="4" cm="1">
        <f t="array" aca="1" ref="S9" ca="1">IF(OR(INDIRECT("H"&amp;(2+(ROWS($Q$2:Q9)-1)*3))=0,INDIRECT("H"&amp;(4+(ROWS($Q$2:Q9)-1)*3))=0),0,INDIRECT("H"&amp;(4+(ROWS($Q$2:Q9)-1)*3))/INDIRECT("H"&amp;(2+(ROWS($Q$2:Q9)-1)*3)))*100</f>
        <v>99.998007544763823</v>
      </c>
      <c r="T9" s="4" cm="1">
        <f t="array" aca="1" ref="T9" ca="1">IF(OR(INDIRECT("I"&amp;(2+(ROWS($Q$2:R9)-1)*3))=0,INDIRECT("I"&amp;(4+(ROWS($Q$2:R9)-1)*3))=0),0,INDIRECT("I"&amp;(4+(ROWS($Q$2:R9)-1)*3))/INDIRECT("I"&amp;(2+(ROWS($Q$2:R9)-1)*3)))*100</f>
        <v>0</v>
      </c>
      <c r="U9" s="4" cm="1">
        <f t="array" aca="1" ref="U9" ca="1">IF(OR(INDIRECT("J"&amp;(2+(ROWS($Q$2:S9)-1)*3))=0,INDIRECT("J"&amp;(4+(ROWS($Q$2:S9)-1)*3))=0),0,INDIRECT("J"&amp;(4+(ROWS($Q$2:S9)-1)*3))/INDIRECT("J"&amp;(2+(ROWS($Q$2:S9)-1)*3)))*100</f>
        <v>99.999311764017648</v>
      </c>
      <c r="V9" s="4" cm="1">
        <f t="array" aca="1" ref="V9" ca="1">IF(OR(INDIRECT("H"&amp;(3+(ROWS($Q$2:T9)-1)*3))=0,INDIRECT("H"&amp;(4+(ROWS($Q$2:T9)-1)*3))=0),0,INDIRECT("H"&amp;(4+(ROWS($Q$2:T9)-1)*3))/INDIRECT("H"&amp;(3+(ROWS($Q$2:T9)-1)*3)))*100</f>
        <v>99.9966792853822</v>
      </c>
      <c r="W9" s="4" cm="1">
        <f t="array" aca="1" ref="W9" ca="1">IF(OR(INDIRECT("I"&amp;(3+(ROWS($Q$2:U9)-1)*3))=0,INDIRECT("I"&amp;(4+(ROWS($Q$2:U9)-1)*3))=0),0,INDIRECT("I"&amp;(4+(ROWS($Q$2:U9)-1)*3))/INDIRECT("I"&amp;(3+(ROWS($Q$2:U9)-1)*3)))*100</f>
        <v>0</v>
      </c>
      <c r="X9" s="4" cm="1">
        <f t="array" aca="1" ref="X9" ca="1">IF(OR(INDIRECT("J"&amp;(3+(ROWS($Q$2:V9)-1)*3))=0,INDIRECT("J"&amp;(4+(ROWS($Q$2:V9)-1)*3))=0),0,INDIRECT("J"&amp;(4+(ROWS($Q$2:V9)-1)*3))/INDIRECT("J"&amp;(3+(ROWS($Q$2:V9)-1)*3)))*100</f>
        <v>99.998623537508607</v>
      </c>
      <c r="Y9" t="str" cm="1">
        <f t="array" aca="1" ref="Y9" ca="1">INDIRECT("G"&amp;(2+(ROWS($Q$2:Q9)-1)*3))</f>
        <v>semanal</v>
      </c>
      <c r="AB9" s="10" cm="1">
        <f t="array" aca="1" ref="AB9" ca="1">IF(OR(INDIRECT("H"&amp;(2+(ROWS($Q$2:Q9)-1)*3))=0,INDIRECT("H"&amp;(4+(ROWS($Q$2:Q9)-1)*3))=0),0,INDIRECT("H"&amp;(4+(ROWS($Q$2:Q9)-1)*3))-INDIRECT("H"&amp;(2+(ROWS($Q$2:Q9)-1)*3)))*-100</f>
        <v>3.0000000000107718E-2</v>
      </c>
      <c r="AC9" s="10" cm="1">
        <f t="array" aca="1" ref="AC9" ca="1">IF(OR(INDIRECT("I"&amp;(2+(ROWS($Q$2:R9)-1)*3))=0,INDIRECT("I"&amp;(4+(ROWS($Q$2:R9)-1)*3))=0),0,INDIRECT("I"&amp;(4+(ROWS($Q$2:R9)-1)*3))-INDIRECT("I"&amp;(2+(ROWS($Q$2:R9)-1)*3)))*-100</f>
        <v>0</v>
      </c>
      <c r="AD9" s="10" cm="1">
        <f t="array" aca="1" ref="AD9" ca="1">IF(OR(INDIRECT("J"&amp;(2+(ROWS($Q$2:S9)-1)*3))=0,INDIRECT("J"&amp;(4+(ROWS($Q$2:S9)-1)*3))=0),0,INDIRECT("J"&amp;(4+(ROWS($Q$2:S9)-1)*3))-INDIRECT("J"&amp;(2+(ROWS($Q$2:S9)-1)*3)))*-100</f>
        <v>9.9999999999766942E-3</v>
      </c>
      <c r="AE9" t="str" cm="1">
        <f t="array" aca="1" ref="AE9" ca="1">INDIRECT("G"&amp;(2+(ROWS($Q$2:W9)-1)*3))</f>
        <v>semanal</v>
      </c>
    </row>
    <row r="10" spans="1:31" x14ac:dyDescent="0.25">
      <c r="A10">
        <v>5</v>
      </c>
      <c r="B10" s="2">
        <v>45496</v>
      </c>
      <c r="C10" s="2">
        <v>45531</v>
      </c>
      <c r="D10" t="s">
        <v>27</v>
      </c>
      <c r="E10">
        <f t="shared" si="1"/>
        <v>35</v>
      </c>
      <c r="F10" t="s">
        <v>23</v>
      </c>
      <c r="G10" t="str">
        <f t="shared" si="2"/>
        <v>Mensual</v>
      </c>
      <c r="H10">
        <v>14.4734</v>
      </c>
      <c r="I10">
        <v>14.846399999999999</v>
      </c>
      <c r="J10">
        <v>15.502599999999999</v>
      </c>
      <c r="K10">
        <v>1</v>
      </c>
      <c r="L10" t="s">
        <v>29</v>
      </c>
      <c r="M10" t="s">
        <v>25</v>
      </c>
      <c r="N10" t="s">
        <v>31</v>
      </c>
      <c r="O10" s="10">
        <f>H26-H28</f>
        <v>1.9999999999953388E-4</v>
      </c>
      <c r="P10" s="10">
        <f t="shared" ref="P10:Q10" si="10">I26-I28</f>
        <v>-2.0000000000131024E-4</v>
      </c>
      <c r="Q10" s="10">
        <f t="shared" si="10"/>
        <v>3.9999999999906777E-4</v>
      </c>
      <c r="R10">
        <f>A24</f>
        <v>10</v>
      </c>
      <c r="S10" s="4" cm="1">
        <f t="array" aca="1" ref="S10" ca="1">IF(OR(INDIRECT("H"&amp;(2+(ROWS($Q$2:Q10)-1)*3))=0,INDIRECT("H"&amp;(4+(ROWS($Q$2:Q10)-1)*3))=0),0,INDIRECT("H"&amp;(4+(ROWS($Q$2:Q10)-1)*3))/INDIRECT("H"&amp;(2+(ROWS($Q$2:Q10)-1)*3)))*100</f>
        <v>99.998657528913469</v>
      </c>
      <c r="T10" s="4" cm="1">
        <f t="array" aca="1" ref="T10" ca="1">IF(OR(INDIRECT("I"&amp;(2+(ROWS($Q$2:R10)-1)*3))=0,INDIRECT("I"&amp;(4+(ROWS($Q$2:R10)-1)*3))=0),0,INDIRECT("I"&amp;(4+(ROWS($Q$2:R10)-1)*3))/INDIRECT("I"&amp;(2+(ROWS($Q$2:R10)-1)*3)))*100</f>
        <v>100.00136621353919</v>
      </c>
      <c r="U10" s="4" cm="1">
        <f t="array" aca="1" ref="U10" ca="1">IF(OR(INDIRECT("J"&amp;(2+(ROWS($Q$2:S10)-1)*3))=0,INDIRECT("J"&amp;(4+(ROWS($Q$2:S10)-1)*3))=0),0,INDIRECT("J"&amp;(4+(ROWS($Q$2:S10)-1)*3))/INDIRECT("J"&amp;(2+(ROWS($Q$2:S10)-1)*3)))*100</f>
        <v>99.997319214529867</v>
      </c>
      <c r="V10" s="4" cm="1">
        <f t="array" aca="1" ref="V10" ca="1">IF(OR(INDIRECT("H"&amp;(3+(ROWS($Q$2:T10)-1)*3))=0,INDIRECT("H"&amp;(4+(ROWS($Q$2:T10)-1)*3))=0),0,INDIRECT("H"&amp;(4+(ROWS($Q$2:T10)-1)*3))/INDIRECT("H"&amp;(3+(ROWS($Q$2:T10)-1)*3)))*100</f>
        <v>99.997315093871038</v>
      </c>
      <c r="W10" s="4" cm="1">
        <f t="array" aca="1" ref="W10" ca="1">IF(OR(INDIRECT("I"&amp;(3+(ROWS($Q$2:U10)-1)*3))=0,INDIRECT("I"&amp;(4+(ROWS($Q$2:U10)-1)*3))=0),0,INDIRECT("I"&amp;(4+(ROWS($Q$2:U10)-1)*3))/INDIRECT("I"&amp;(3+(ROWS($Q$2:U10)-1)*3)))*100</f>
        <v>100</v>
      </c>
      <c r="X10" s="4" cm="1">
        <f t="array" aca="1" ref="X10" ca="1">IF(OR(INDIRECT("J"&amp;(3+(ROWS($Q$2:V10)-1)*3))=0,INDIRECT("J"&amp;(4+(ROWS($Q$2:V10)-1)*3))=0),0,INDIRECT("J"&amp;(4+(ROWS($Q$2:V10)-1)*3))/INDIRECT("J"&amp;(3+(ROWS($Q$2:V10)-1)*3)))*100</f>
        <v>99.995978875693638</v>
      </c>
      <c r="Y10" t="str" cm="1">
        <f t="array" aca="1" ref="Y10" ca="1">INDIRECT("G"&amp;(2+(ROWS($Q$2:Q10)-1)*3))</f>
        <v>semanal</v>
      </c>
      <c r="AB10" s="10" cm="1">
        <f t="array" aca="1" ref="AB10" ca="1">IF(OR(INDIRECT("H"&amp;(2+(ROWS($Q$2:Q10)-1)*3))=0,INDIRECT("H"&amp;(4+(ROWS($Q$2:Q10)-1)*3))=0),0,INDIRECT("H"&amp;(4+(ROWS($Q$2:Q10)-1)*3))-INDIRECT("H"&amp;(2+(ROWS($Q$2:Q10)-1)*3)))*-100</f>
        <v>1.9999999999953388E-2</v>
      </c>
      <c r="AC10" s="10" cm="1">
        <f t="array" aca="1" ref="AC10" ca="1">IF(OR(INDIRECT("I"&amp;(2+(ROWS($Q$2:R10)-1)*3))=0,INDIRECT("I"&amp;(4+(ROWS($Q$2:R10)-1)*3))=0),0,INDIRECT("I"&amp;(4+(ROWS($Q$2:R10)-1)*3))-INDIRECT("I"&amp;(2+(ROWS($Q$2:R10)-1)*3)))*-100</f>
        <v>-2.0000000000131024E-2</v>
      </c>
      <c r="AD10" s="10" cm="1">
        <f t="array" aca="1" ref="AD10" ca="1">IF(OR(INDIRECT("J"&amp;(2+(ROWS($Q$2:S10)-1)*3))=0,INDIRECT("J"&amp;(4+(ROWS($Q$2:S10)-1)*3))=0),0,INDIRECT("J"&amp;(4+(ROWS($Q$2:S10)-1)*3))-INDIRECT("J"&amp;(2+(ROWS($Q$2:S10)-1)*3)))*-100</f>
        <v>3.9999999999906777E-2</v>
      </c>
      <c r="AE10" t="str" cm="1">
        <f t="array" aca="1" ref="AE10" ca="1">INDIRECT("G"&amp;(2+(ROWS($Q$2:W10)-1)*3))</f>
        <v>semanal</v>
      </c>
    </row>
    <row r="11" spans="1:31" x14ac:dyDescent="0.25">
      <c r="A11">
        <v>5</v>
      </c>
      <c r="B11" s="2">
        <v>45496</v>
      </c>
      <c r="C11" s="2">
        <v>45531</v>
      </c>
      <c r="D11" t="s">
        <v>22</v>
      </c>
      <c r="E11">
        <f t="shared" si="1"/>
        <v>35</v>
      </c>
      <c r="F11" t="s">
        <v>23</v>
      </c>
      <c r="G11" t="str">
        <f t="shared" si="2"/>
        <v>Mensual</v>
      </c>
      <c r="H11">
        <v>15.058299999999999</v>
      </c>
      <c r="I11">
        <v>15.532</v>
      </c>
      <c r="J11">
        <v>14.530099999999999</v>
      </c>
      <c r="K11">
        <v>2</v>
      </c>
      <c r="L11" t="s">
        <v>24</v>
      </c>
      <c r="M11" t="s">
        <v>25</v>
      </c>
      <c r="N11" t="s">
        <v>31</v>
      </c>
      <c r="O11" s="10">
        <f>H29-H31</f>
        <v>7.0000000000014495E-4</v>
      </c>
      <c r="P11" s="10">
        <f t="shared" ref="P11:Q11" si="11">I29-I31</f>
        <v>0</v>
      </c>
      <c r="Q11" s="10">
        <f t="shared" si="11"/>
        <v>2.0000000000131024E-4</v>
      </c>
      <c r="R11">
        <f>A27</f>
        <v>11</v>
      </c>
      <c r="S11" s="4" cm="1">
        <f t="array" aca="1" ref="S11" ca="1">IF(OR(INDIRECT("H"&amp;(2+(ROWS($Q$2:Q11)-1)*3))=0,INDIRECT("H"&amp;(4+(ROWS($Q$2:Q11)-1)*3))=0),0,INDIRECT("H"&amp;(4+(ROWS($Q$2:Q11)-1)*3))/INDIRECT("H"&amp;(2+(ROWS($Q$2:Q11)-1)*3)))*100</f>
        <v>99.995350937782263</v>
      </c>
      <c r="T11" s="4" cm="1">
        <f t="array" aca="1" ref="T11" ca="1">IF(OR(INDIRECT("I"&amp;(2+(ROWS($Q$2:R11)-1)*3))=0,INDIRECT("I"&amp;(4+(ROWS($Q$2:R11)-1)*3))=0),0,INDIRECT("I"&amp;(4+(ROWS($Q$2:R11)-1)*3))/INDIRECT("I"&amp;(2+(ROWS($Q$2:R11)-1)*3)))*100</f>
        <v>0</v>
      </c>
      <c r="U11" s="4" cm="1">
        <f t="array" aca="1" ref="U11" ca="1">IF(OR(INDIRECT("J"&amp;(2+(ROWS($Q$2:S11)-1)*3))=0,INDIRECT("J"&amp;(4+(ROWS($Q$2:S11)-1)*3))=0),0,INDIRECT("J"&amp;(4+(ROWS($Q$2:S11)-1)*3))/INDIRECT("J"&amp;(2+(ROWS($Q$2:S11)-1)*3)))*100</f>
        <v>99.998623556454831</v>
      </c>
      <c r="V11" s="4" cm="1">
        <f t="array" aca="1" ref="V11" ca="1">IF(OR(INDIRECT("H"&amp;(3+(ROWS($Q$2:T11)-1)*3))=0,INDIRECT("H"&amp;(4+(ROWS($Q$2:T11)-1)*3))=0),0,INDIRECT("H"&amp;(4+(ROWS($Q$2:T11)-1)*3))/INDIRECT("H"&amp;(3+(ROWS($Q$2:T11)-1)*3)))*100</f>
        <v>99.99667919716272</v>
      </c>
      <c r="W11" s="4" cm="1">
        <f t="array" aca="1" ref="W11" ca="1">IF(OR(INDIRECT("I"&amp;(3+(ROWS($Q$2:U11)-1)*3))=0,INDIRECT("I"&amp;(4+(ROWS($Q$2:U11)-1)*3))=0),0,INDIRECT("I"&amp;(4+(ROWS($Q$2:U11)-1)*3))/INDIRECT("I"&amp;(3+(ROWS($Q$2:U11)-1)*3)))*100</f>
        <v>0</v>
      </c>
      <c r="X11" s="4" cm="1">
        <f t="array" aca="1" ref="X11" ca="1">IF(OR(INDIRECT("J"&amp;(3+(ROWS($Q$2:V11)-1)*3))=0,INDIRECT("J"&amp;(4+(ROWS($Q$2:V11)-1)*3))=0),0,INDIRECT("J"&amp;(4+(ROWS($Q$2:V11)-1)*3))/INDIRECT("J"&amp;(3+(ROWS($Q$2:V11)-1)*3)))*100</f>
        <v>99.997935348891616</v>
      </c>
      <c r="Y11" t="str" cm="1">
        <f t="array" aca="1" ref="Y11" ca="1">INDIRECT("G"&amp;(2+(ROWS($Q$2:Q11)-1)*3))</f>
        <v>semanal</v>
      </c>
      <c r="AB11" s="10" cm="1">
        <f t="array" aca="1" ref="AB11" ca="1">IF(OR(INDIRECT("H"&amp;(2+(ROWS($Q$2:Q11)-1)*3))=0,INDIRECT("H"&amp;(4+(ROWS($Q$2:Q11)-1)*3))=0),0,INDIRECT("H"&amp;(4+(ROWS($Q$2:Q11)-1)*3))-INDIRECT("H"&amp;(2+(ROWS($Q$2:Q11)-1)*3)))*-100</f>
        <v>7.0000000000014495E-2</v>
      </c>
      <c r="AC11" s="10" cm="1">
        <f t="array" aca="1" ref="AC11" ca="1">IF(OR(INDIRECT("I"&amp;(2+(ROWS($Q$2:R11)-1)*3))=0,INDIRECT("I"&amp;(4+(ROWS($Q$2:R11)-1)*3))=0),0,INDIRECT("I"&amp;(4+(ROWS($Q$2:R11)-1)*3))-INDIRECT("I"&amp;(2+(ROWS($Q$2:R11)-1)*3)))*-100</f>
        <v>0</v>
      </c>
      <c r="AD11" s="10" cm="1">
        <f t="array" aca="1" ref="AD11" ca="1">IF(OR(INDIRECT("J"&amp;(2+(ROWS($Q$2:S11)-1)*3))=0,INDIRECT("J"&amp;(4+(ROWS($Q$2:S11)-1)*3))=0),0,INDIRECT("J"&amp;(4+(ROWS($Q$2:S11)-1)*3))-INDIRECT("J"&amp;(2+(ROWS($Q$2:S11)-1)*3)))*-100</f>
        <v>2.0000000000131024E-2</v>
      </c>
      <c r="AE11" t="str" cm="1">
        <f t="array" aca="1" ref="AE11" ca="1">INDIRECT("G"&amp;(2+(ROWS($Q$2:W11)-1)*3))</f>
        <v>semanal</v>
      </c>
    </row>
    <row r="12" spans="1:31" x14ac:dyDescent="0.25">
      <c r="A12">
        <v>6</v>
      </c>
      <c r="B12" s="2">
        <v>45496</v>
      </c>
      <c r="C12" s="2">
        <v>45538</v>
      </c>
      <c r="D12" t="s">
        <v>27</v>
      </c>
      <c r="E12">
        <f t="shared" si="1"/>
        <v>42</v>
      </c>
      <c r="F12" t="s">
        <v>23</v>
      </c>
      <c r="G12" t="str">
        <f t="shared" si="2"/>
        <v>2 Meses</v>
      </c>
      <c r="H12">
        <v>15.058299999999999</v>
      </c>
      <c r="I12">
        <v>15.5322</v>
      </c>
      <c r="J12">
        <v>14.5304</v>
      </c>
      <c r="K12">
        <v>2</v>
      </c>
      <c r="L12" t="s">
        <v>24</v>
      </c>
      <c r="M12" t="s">
        <v>25</v>
      </c>
      <c r="N12" t="s">
        <v>31</v>
      </c>
      <c r="O12" s="10">
        <f>H32-H34</f>
        <v>4.9999999999883471E-4</v>
      </c>
      <c r="P12" s="10">
        <f t="shared" ref="P12:Q12" si="12">I32-I34</f>
        <v>2.9999999999930083E-4</v>
      </c>
      <c r="Q12" s="10">
        <f t="shared" si="12"/>
        <v>3.9999999999906777E-4</v>
      </c>
      <c r="R12">
        <f>A30</f>
        <v>12</v>
      </c>
      <c r="S12" s="4" cm="1">
        <f t="array" aca="1" ref="S12" ca="1">IF(OR(INDIRECT("H"&amp;(2+(ROWS($Q$2:Q12)-1)*3))=0,INDIRECT("H"&amp;(4+(ROWS($Q$2:Q12)-1)*3))=0),0,INDIRECT("H"&amp;(4+(ROWS($Q$2:Q12)-1)*3))/INDIRECT("H"&amp;(2+(ROWS($Q$2:Q12)-1)*3)))*100</f>
        <v>99.996643506864032</v>
      </c>
      <c r="T12" s="4" cm="1">
        <f t="array" aca="1" ref="T12" ca="1">IF(OR(INDIRECT("I"&amp;(2+(ROWS($Q$2:R12)-1)*3))=0,INDIRECT("I"&amp;(4+(ROWS($Q$2:R12)-1)*3))=0),0,INDIRECT("I"&amp;(4+(ROWS($Q$2:R12)-1)*3))/INDIRECT("I"&amp;(2+(ROWS($Q$2:R12)-1)*3)))*100</f>
        <v>99.997950651692776</v>
      </c>
      <c r="U12" s="4" cm="1">
        <f t="array" aca="1" ref="U12" ca="1">IF(OR(INDIRECT("J"&amp;(2+(ROWS($Q$2:S12)-1)*3))=0,INDIRECT("J"&amp;(4+(ROWS($Q$2:S12)-1)*3))=0),0,INDIRECT("J"&amp;(4+(ROWS($Q$2:S12)-1)*3))/INDIRECT("J"&amp;(2+(ROWS($Q$2:S12)-1)*3)))*100</f>
        <v>99.997319178596328</v>
      </c>
      <c r="V12" s="4" cm="1">
        <f t="array" aca="1" ref="V12" ca="1">IF(OR(INDIRECT("H"&amp;(3+(ROWS($Q$2:T12)-1)*3))=0,INDIRECT("H"&amp;(4+(ROWS($Q$2:T12)-1)*3))=0),0,INDIRECT("H"&amp;(4+(ROWS($Q$2:T12)-1)*3))/INDIRECT("H"&amp;(3+(ROWS($Q$2:T12)-1)*3)))*100</f>
        <v>99.998657375706557</v>
      </c>
      <c r="W12" s="4" cm="1">
        <f t="array" aca="1" ref="W12" ca="1">IF(OR(INDIRECT("I"&amp;(3+(ROWS($Q$2:U12)-1)*3))=0,INDIRECT("I"&amp;(4+(ROWS($Q$2:U12)-1)*3))=0),0,INDIRECT("I"&amp;(4+(ROWS($Q$2:U12)-1)*3))/INDIRECT("I"&amp;(3+(ROWS($Q$2:U12)-1)*3)))*100</f>
        <v>99.998633758462162</v>
      </c>
      <c r="X12" s="4" cm="1">
        <f t="array" aca="1" ref="X12" ca="1">IF(OR(INDIRECT("J"&amp;(3+(ROWS($Q$2:V12)-1)*3))=0,INDIRECT("J"&amp;(4+(ROWS($Q$2:V12)-1)*3))=0),0,INDIRECT("J"&amp;(4+(ROWS($Q$2:V12)-1)*3))/INDIRECT("J"&amp;(3+(ROWS($Q$2:V12)-1)*3)))*100</f>
        <v>99.998659571330919</v>
      </c>
      <c r="Y12" t="str" cm="1">
        <f t="array" aca="1" ref="Y12" ca="1">INDIRECT("G"&amp;(2+(ROWS($Q$2:Q12)-1)*3))</f>
        <v>semanal</v>
      </c>
      <c r="AB12" s="10" cm="1">
        <f t="array" aca="1" ref="AB12" ca="1">IF(OR(INDIRECT("H"&amp;(2+(ROWS($Q$2:Q12)-1)*3))=0,INDIRECT("H"&amp;(4+(ROWS($Q$2:Q12)-1)*3))=0),0,INDIRECT("H"&amp;(4+(ROWS($Q$2:Q12)-1)*3))-INDIRECT("H"&amp;(2+(ROWS($Q$2:Q12)-1)*3)))*-100</f>
        <v>4.9999999999883471E-2</v>
      </c>
      <c r="AC12" s="10" cm="1">
        <f t="array" aca="1" ref="AC12" ca="1">IF(OR(INDIRECT("I"&amp;(2+(ROWS($Q$2:R12)-1)*3))=0,INDIRECT("I"&amp;(4+(ROWS($Q$2:R12)-1)*3))=0),0,INDIRECT("I"&amp;(4+(ROWS($Q$2:R12)-1)*3))-INDIRECT("I"&amp;(2+(ROWS($Q$2:R12)-1)*3)))*-100</f>
        <v>2.9999999999930083E-2</v>
      </c>
      <c r="AD12" s="10" cm="1">
        <f t="array" aca="1" ref="AD12" ca="1">IF(OR(INDIRECT("J"&amp;(2+(ROWS($Q$2:S12)-1)*3))=0,INDIRECT("J"&amp;(4+(ROWS($Q$2:S12)-1)*3))=0),0,INDIRECT("J"&amp;(4+(ROWS($Q$2:S12)-1)*3))-INDIRECT("J"&amp;(2+(ROWS($Q$2:S12)-1)*3)))*-100</f>
        <v>3.9999999999906777E-2</v>
      </c>
      <c r="AE12" t="str" cm="1">
        <f t="array" aca="1" ref="AE12" ca="1">INDIRECT("G"&amp;(2+(ROWS($Q$2:W12)-1)*3))</f>
        <v>semanal</v>
      </c>
    </row>
    <row r="13" spans="1:31" x14ac:dyDescent="0.25">
      <c r="A13">
        <v>6</v>
      </c>
      <c r="B13" s="2">
        <v>45496</v>
      </c>
      <c r="C13" s="2">
        <v>45538</v>
      </c>
      <c r="D13" t="s">
        <v>27</v>
      </c>
      <c r="E13">
        <f t="shared" si="1"/>
        <v>42</v>
      </c>
      <c r="F13" t="s">
        <v>23</v>
      </c>
      <c r="G13" t="str">
        <f t="shared" si="2"/>
        <v>2 Meses</v>
      </c>
      <c r="H13">
        <v>15.0572</v>
      </c>
      <c r="I13">
        <v>0</v>
      </c>
      <c r="J13">
        <v>14.529500000000001</v>
      </c>
      <c r="K13">
        <v>2</v>
      </c>
      <c r="L13" t="s">
        <v>29</v>
      </c>
      <c r="M13" t="s">
        <v>25</v>
      </c>
      <c r="N13" t="s">
        <v>31</v>
      </c>
      <c r="O13" s="10">
        <f>H35-H37</f>
        <v>2.5999999999992696E-3</v>
      </c>
      <c r="P13" s="10">
        <f t="shared" ref="P13:Q13" si="13">I35-I37</f>
        <v>3.4000000000009578E-3</v>
      </c>
      <c r="Q13" s="10">
        <f t="shared" si="13"/>
        <v>3.6999999999984823E-3</v>
      </c>
      <c r="R13">
        <f>A33</f>
        <v>13</v>
      </c>
      <c r="S13" s="4" cm="1">
        <f t="array" aca="1" ref="S13" ca="1">IF(OR(INDIRECT("H"&amp;(2+(ROWS($Q$2:Q13)-1)*3))=0,INDIRECT("H"&amp;(4+(ROWS($Q$2:Q13)-1)*3))=0),0,INDIRECT("H"&amp;(4+(ROWS($Q$2:Q13)-1)*3))/INDIRECT("H"&amp;(2+(ROWS($Q$2:Q13)-1)*3)))*100</f>
        <v>99.983022182171993</v>
      </c>
      <c r="T13" s="4" cm="1">
        <f t="array" aca="1" ref="T13" ca="1">IF(OR(INDIRECT("I"&amp;(2+(ROWS($Q$2:R13)-1)*3))=0,INDIRECT("I"&amp;(4+(ROWS($Q$2:R13)-1)*3))=0),0,INDIRECT("I"&amp;(4+(ROWS($Q$2:R13)-1)*3))/INDIRECT("I"&amp;(2+(ROWS($Q$2:R13)-1)*3)))*100</f>
        <v>99.977377673094054</v>
      </c>
      <c r="U13" s="4" cm="1">
        <f t="array" aca="1" ref="U13" ca="1">IF(OR(INDIRECT("J"&amp;(2+(ROWS($Q$2:S13)-1)*3))=0,INDIRECT("J"&amp;(4+(ROWS($Q$2:S13)-1)*3))=0),0,INDIRECT("J"&amp;(4+(ROWS($Q$2:S13)-1)*3))/INDIRECT("J"&amp;(2+(ROWS($Q$2:S13)-1)*3)))*100</f>
        <v>99.975458495008795</v>
      </c>
      <c r="V13" s="4" cm="1">
        <f t="array" aca="1" ref="V13" ca="1">IF(OR(INDIRECT("H"&amp;(3+(ROWS($Q$2:T13)-1)*3))=0,INDIRECT("H"&amp;(4+(ROWS($Q$2:T13)-1)*3))=0),0,INDIRECT("H"&amp;(4+(ROWS($Q$2:T13)-1)*3))/INDIRECT("H"&amp;(3+(ROWS($Q$2:T13)-1)*3)))*100</f>
        <v>99.983675068564708</v>
      </c>
      <c r="W13" s="4" cm="1">
        <f t="array" aca="1" ref="W13" ca="1">IF(OR(INDIRECT("I"&amp;(3+(ROWS($Q$2:U13)-1)*3))=0,INDIRECT("I"&amp;(4+(ROWS($Q$2:U13)-1)*3))=0),0,INDIRECT("I"&amp;(4+(ROWS($Q$2:U13)-1)*3))/INDIRECT("I"&amp;(3+(ROWS($Q$2:U13)-1)*3)))*100</f>
        <v>99.977377673094054</v>
      </c>
      <c r="X13" s="4" cm="1">
        <f t="array" aca="1" ref="X13" ca="1">IF(OR(INDIRECT("J"&amp;(3+(ROWS($Q$2:V13)-1)*3))=0,INDIRECT("J"&amp;(4+(ROWS($Q$2:V13)-1)*3))=0),0,INDIRECT("J"&amp;(4+(ROWS($Q$2:V13)-1)*3))/INDIRECT("J"&amp;(3+(ROWS($Q$2:V13)-1)*3)))*100</f>
        <v>99.973469171176916</v>
      </c>
      <c r="Y13" t="str" cm="1">
        <f t="array" aca="1" ref="Y13" ca="1">INDIRECT("G"&amp;(2+(ROWS($Q$2:Q13)-1)*3))</f>
        <v>Trimestral</v>
      </c>
      <c r="AB13" s="10" cm="1">
        <f t="array" aca="1" ref="AB13" ca="1">IF(OR(INDIRECT("H"&amp;(2+(ROWS($Q$2:Q13)-1)*3))=0,INDIRECT("H"&amp;(4+(ROWS($Q$2:Q13)-1)*3))=0),0,INDIRECT("H"&amp;(4+(ROWS($Q$2:Q13)-1)*3))-INDIRECT("H"&amp;(2+(ROWS($Q$2:Q13)-1)*3)))*-100</f>
        <v>0.25999999999992696</v>
      </c>
      <c r="AC13" s="10" cm="1">
        <f t="array" aca="1" ref="AC13" ca="1">IF(OR(INDIRECT("I"&amp;(2+(ROWS($Q$2:R13)-1)*3))=0,INDIRECT("I"&amp;(4+(ROWS($Q$2:R13)-1)*3))=0),0,INDIRECT("I"&amp;(4+(ROWS($Q$2:R13)-1)*3))-INDIRECT("I"&amp;(2+(ROWS($Q$2:R13)-1)*3)))*-100</f>
        <v>0.34000000000009578</v>
      </c>
      <c r="AD13" s="10" cm="1">
        <f t="array" aca="1" ref="AD13" ca="1">IF(OR(INDIRECT("J"&amp;(2+(ROWS($Q$2:S13)-1)*3))=0,INDIRECT("J"&amp;(4+(ROWS($Q$2:S13)-1)*3))=0),0,INDIRECT("J"&amp;(4+(ROWS($Q$2:S13)-1)*3))-INDIRECT("J"&amp;(2+(ROWS($Q$2:S13)-1)*3)))*-100</f>
        <v>0.36999999999984823</v>
      </c>
      <c r="AE13" t="str" cm="1">
        <f t="array" aca="1" ref="AE13" ca="1">INDIRECT("G"&amp;(2+(ROWS($Q$2:W13)-1)*3))</f>
        <v>Trimestral</v>
      </c>
    </row>
    <row r="14" spans="1:31" x14ac:dyDescent="0.25">
      <c r="A14">
        <v>6</v>
      </c>
      <c r="B14" s="2">
        <v>45531</v>
      </c>
      <c r="C14" s="2">
        <v>45538</v>
      </c>
      <c r="D14" t="s">
        <v>22</v>
      </c>
      <c r="E14">
        <f t="shared" si="1"/>
        <v>7</v>
      </c>
      <c r="F14" t="s">
        <v>23</v>
      </c>
      <c r="G14" t="str">
        <f t="shared" si="2"/>
        <v>semanal</v>
      </c>
      <c r="H14">
        <v>14.898</v>
      </c>
      <c r="I14">
        <v>14.638999999999999</v>
      </c>
      <c r="J14">
        <v>14.923</v>
      </c>
      <c r="K14">
        <v>1</v>
      </c>
      <c r="L14" t="s">
        <v>24</v>
      </c>
      <c r="M14" t="s">
        <v>25</v>
      </c>
      <c r="N14" t="s">
        <v>31</v>
      </c>
      <c r="O14" s="10">
        <f>H38-H40</f>
        <v>9.0000000000145519E-4</v>
      </c>
      <c r="P14" s="10">
        <f t="shared" ref="P14:Q14" si="14">I38-I40</f>
        <v>0</v>
      </c>
      <c r="Q14" s="10">
        <f t="shared" si="14"/>
        <v>1.5000000000000568E-3</v>
      </c>
      <c r="R14">
        <f>A36</f>
        <v>14</v>
      </c>
      <c r="S14" s="4" cm="1">
        <f t="array" aca="1" ref="S14" ca="1">IF(OR(INDIRECT("H"&amp;(2+(ROWS($Q$2:Q14)-1)*3))=0,INDIRECT("H"&amp;(4+(ROWS($Q$2:Q14)-1)*3))=0),0,INDIRECT("H"&amp;(4+(ROWS($Q$2:Q14)-1)*3))/INDIRECT("H"&amp;(2+(ROWS($Q$2:Q14)-1)*3)))*100</f>
        <v>99.994022634291468</v>
      </c>
      <c r="T14" s="4" cm="1">
        <f t="array" aca="1" ref="T14" ca="1">IF(OR(INDIRECT("I"&amp;(2+(ROWS($Q$2:R14)-1)*3))=0,INDIRECT("I"&amp;(4+(ROWS($Q$2:R14)-1)*3))=0),0,INDIRECT("I"&amp;(4+(ROWS($Q$2:R14)-1)*3))/INDIRECT("I"&amp;(2+(ROWS($Q$2:R14)-1)*3)))*100</f>
        <v>0</v>
      </c>
      <c r="U14" s="4" cm="1">
        <f t="array" aca="1" ref="U14" ca="1">IF(OR(INDIRECT("J"&amp;(2+(ROWS($Q$2:S14)-1)*3))=0,INDIRECT("J"&amp;(4+(ROWS($Q$2:S14)-1)*3))=0),0,INDIRECT("J"&amp;(4+(ROWS($Q$2:S14)-1)*3))/INDIRECT("J"&amp;(2+(ROWS($Q$2:S14)-1)*3)))*100</f>
        <v>99.989677312798065</v>
      </c>
      <c r="V14" s="4" cm="1">
        <f t="array" aca="1" ref="V14" ca="1">IF(OR(INDIRECT("H"&amp;(3+(ROWS($Q$2:T14)-1)*3))=0,INDIRECT("H"&amp;(4+(ROWS($Q$2:T14)-1)*3))=0),0,INDIRECT("H"&amp;(4+(ROWS($Q$2:T14)-1)*3))/INDIRECT("H"&amp;(3+(ROWS($Q$2:T14)-1)*3)))*100</f>
        <v>99.995350876027786</v>
      </c>
      <c r="W14" s="4" cm="1">
        <f t="array" aca="1" ref="W14" ca="1">IF(OR(INDIRECT("I"&amp;(3+(ROWS($Q$2:U14)-1)*3))=0,INDIRECT("I"&amp;(4+(ROWS($Q$2:U14)-1)*3))=0),0,INDIRECT("I"&amp;(4+(ROWS($Q$2:U14)-1)*3))/INDIRECT("I"&amp;(3+(ROWS($Q$2:U14)-1)*3)))*100</f>
        <v>0</v>
      </c>
      <c r="X14" s="4" cm="1">
        <f t="array" aca="1" ref="X14" ca="1">IF(OR(INDIRECT("J"&amp;(3+(ROWS($Q$2:V14)-1)*3))=0,INDIRECT("J"&amp;(4+(ROWS($Q$2:V14)-1)*3))=0),0,INDIRECT("J"&amp;(4+(ROWS($Q$2:V14)-1)*3))/INDIRECT("J"&amp;(3+(ROWS($Q$2:V14)-1)*3)))*100</f>
        <v>99.99449430160216</v>
      </c>
      <c r="Y14" t="str" cm="1">
        <f t="array" aca="1" ref="Y14" ca="1">INDIRECT("G"&amp;(2+(ROWS($Q$2:Q14)-1)*3))</f>
        <v>2 semanas</v>
      </c>
      <c r="AB14" s="10" cm="1">
        <f t="array" aca="1" ref="AB14" ca="1">IF(OR(INDIRECT("H"&amp;(2+(ROWS($Q$2:Q14)-1)*3))=0,INDIRECT("H"&amp;(4+(ROWS($Q$2:Q14)-1)*3))=0),0,INDIRECT("H"&amp;(4+(ROWS($Q$2:Q14)-1)*3))-INDIRECT("H"&amp;(2+(ROWS($Q$2:Q14)-1)*3)))*-100</f>
        <v>9.0000000000145519E-2</v>
      </c>
      <c r="AC14" s="10" cm="1">
        <f t="array" aca="1" ref="AC14" ca="1">IF(OR(INDIRECT("I"&amp;(2+(ROWS($Q$2:R14)-1)*3))=0,INDIRECT("I"&amp;(4+(ROWS($Q$2:R14)-1)*3))=0),0,INDIRECT("I"&amp;(4+(ROWS($Q$2:R14)-1)*3))-INDIRECT("I"&amp;(2+(ROWS($Q$2:R14)-1)*3)))*-100</f>
        <v>0</v>
      </c>
      <c r="AD14" s="10" cm="1">
        <f t="array" aca="1" ref="AD14" ca="1">IF(OR(INDIRECT("J"&amp;(2+(ROWS($Q$2:S14)-1)*3))=0,INDIRECT("J"&amp;(4+(ROWS($Q$2:S14)-1)*3))=0),0,INDIRECT("J"&amp;(4+(ROWS($Q$2:S14)-1)*3))-INDIRECT("J"&amp;(2+(ROWS($Q$2:S14)-1)*3)))*-100</f>
        <v>0.15000000000000568</v>
      </c>
      <c r="AE14" t="str" cm="1">
        <f t="array" aca="1" ref="AE14" ca="1">INDIRECT("G"&amp;(2+(ROWS($Q$2:W14)-1)*3))</f>
        <v>2 semanas</v>
      </c>
    </row>
    <row r="15" spans="1:31" x14ac:dyDescent="0.25">
      <c r="A15">
        <v>7</v>
      </c>
      <c r="B15" s="2">
        <v>45531</v>
      </c>
      <c r="C15" s="2">
        <v>45545</v>
      </c>
      <c r="D15" t="s">
        <v>27</v>
      </c>
      <c r="E15">
        <f t="shared" si="1"/>
        <v>14</v>
      </c>
      <c r="F15" t="s">
        <v>23</v>
      </c>
      <c r="G15" t="str">
        <f t="shared" si="2"/>
        <v>2 semanas</v>
      </c>
      <c r="H15">
        <v>14.898099999999999</v>
      </c>
      <c r="I15">
        <v>14.638999999999999</v>
      </c>
      <c r="J15">
        <v>14.9231</v>
      </c>
      <c r="K15">
        <v>1</v>
      </c>
      <c r="L15" t="s">
        <v>24</v>
      </c>
      <c r="M15" t="s">
        <v>25</v>
      </c>
      <c r="N15" t="s">
        <v>31</v>
      </c>
      <c r="O15" s="10">
        <f>H41-H43</f>
        <v>15.3118</v>
      </c>
      <c r="P15" s="10">
        <f t="shared" ref="P15:Q15" si="15">I41-I43</f>
        <v>7.0000000000014495E-4</v>
      </c>
      <c r="Q15" s="10">
        <f t="shared" si="15"/>
        <v>7.9999999999991189E-4</v>
      </c>
      <c r="R15">
        <v>15</v>
      </c>
      <c r="S15" s="4" cm="1">
        <f t="array" aca="1" ref="S15" ca="1">IF(OR(INDIRECT("H"&amp;(2+(ROWS($Q$2:Q15)-1)*3))=0,INDIRECT("H"&amp;(4+(ROWS($Q$2:Q15)-1)*3))=0),0,INDIRECT("H"&amp;(4+(ROWS($Q$2:Q15)-1)*3))/INDIRECT("H"&amp;(2+(ROWS($Q$2:Q15)-1)*3)))*100</f>
        <v>0</v>
      </c>
      <c r="T15" s="4" cm="1">
        <f t="array" aca="1" ref="T15" ca="1">IF(OR(INDIRECT("I"&amp;(2+(ROWS($Q$2:R15)-1)*3))=0,INDIRECT("I"&amp;(4+(ROWS($Q$2:R15)-1)*3))=0),0,INDIRECT("I"&amp;(4+(ROWS($Q$2:R15)-1)*3))/INDIRECT("I"&amp;(2+(ROWS($Q$2:R15)-1)*3)))*100</f>
        <v>99.995341563238284</v>
      </c>
      <c r="U15" s="4" cm="1">
        <f t="array" aca="1" ref="U15" ca="1">IF(OR(INDIRECT("J"&amp;(2+(ROWS($Q$2:S15)-1)*3))=0,INDIRECT("J"&amp;(4+(ROWS($Q$2:S15)-1)*3))=0),0,INDIRECT("J"&amp;(4+(ROWS($Q$2:S15)-1)*3))/INDIRECT("J"&amp;(2+(ROWS($Q$2:S15)-1)*3)))*100</f>
        <v>99.994690629624955</v>
      </c>
      <c r="V15" s="4" cm="1">
        <f t="array" aca="1" ref="V15" ca="1">IF(OR(INDIRECT("H"&amp;(3+(ROWS($Q$2:T15)-1)*3))=0,INDIRECT("H"&amp;(4+(ROWS($Q$2:T15)-1)*3))=0),0,INDIRECT("H"&amp;(4+(ROWS($Q$2:T15)-1)*3))/INDIRECT("H"&amp;(3+(ROWS($Q$2:T15)-1)*3)))*100</f>
        <v>0</v>
      </c>
      <c r="W15" s="4" cm="1">
        <f t="array" aca="1" ref="W15" ca="1">IF(OR(INDIRECT("I"&amp;(3+(ROWS($Q$2:U15)-1)*3))=0,INDIRECT("I"&amp;(4+(ROWS($Q$2:U15)-1)*3))=0),0,INDIRECT("I"&amp;(4+(ROWS($Q$2:U15)-1)*3))/INDIRECT("I"&amp;(3+(ROWS($Q$2:U15)-1)*3)))*100</f>
        <v>99.994676107702347</v>
      </c>
      <c r="X15" s="4" cm="1">
        <f t="array" aca="1" ref="X15" ca="1">IF(OR(INDIRECT("J"&amp;(3+(ROWS($Q$2:V15)-1)*3))=0,INDIRECT("J"&amp;(4+(ROWS($Q$2:V15)-1)*3))=0),0,INDIRECT("J"&amp;(4+(ROWS($Q$2:V15)-1)*3))/INDIRECT("J"&amp;(3+(ROWS($Q$2:V15)-1)*3)))*100</f>
        <v>99.994690629624955</v>
      </c>
      <c r="Y15" t="str" cm="1">
        <f t="array" aca="1" ref="Y15" ca="1">INDIRECT("G"&amp;(2+(ROWS($Q$2:Q15)-1)*3))</f>
        <v>semanal</v>
      </c>
      <c r="AB15" s="10" cm="1">
        <f t="array" aca="1" ref="AB15" ca="1">IF(OR(INDIRECT("H"&amp;(2+(ROWS($Q$2:Q15)-1)*3))=0,INDIRECT("H"&amp;(4+(ROWS($Q$2:Q15)-1)*3))=0),0,INDIRECT("H"&amp;(4+(ROWS($Q$2:Q15)-1)*3))-INDIRECT("H"&amp;(2+(ROWS($Q$2:Q15)-1)*3)))*-100</f>
        <v>0</v>
      </c>
      <c r="AC15" s="10" cm="1">
        <f t="array" aca="1" ref="AC15" ca="1">IF(OR(INDIRECT("I"&amp;(2+(ROWS($Q$2:R15)-1)*3))=0,INDIRECT("I"&amp;(4+(ROWS($Q$2:R15)-1)*3))=0),0,INDIRECT("I"&amp;(4+(ROWS($Q$2:R15)-1)*3))-INDIRECT("I"&amp;(2+(ROWS($Q$2:R15)-1)*3)))*-100</f>
        <v>7.0000000000014495E-2</v>
      </c>
      <c r="AD15" s="10" cm="1">
        <f t="array" aca="1" ref="AD15" ca="1">IF(OR(INDIRECT("J"&amp;(2+(ROWS($Q$2:S15)-1)*3))=0,INDIRECT("J"&amp;(4+(ROWS($Q$2:S15)-1)*3))=0),0,INDIRECT("J"&amp;(4+(ROWS($Q$2:S15)-1)*3))-INDIRECT("J"&amp;(2+(ROWS($Q$2:S15)-1)*3)))*-100</f>
        <v>7.9999999999991189E-2</v>
      </c>
      <c r="AE15" t="str" cm="1">
        <f t="array" aca="1" ref="AE15" ca="1">INDIRECT("G"&amp;(2+(ROWS($Q$2:W15)-1)*3))</f>
        <v>semanal</v>
      </c>
    </row>
    <row r="16" spans="1:31" x14ac:dyDescent="0.25">
      <c r="A16">
        <v>7</v>
      </c>
      <c r="B16" s="2">
        <v>45531</v>
      </c>
      <c r="C16" s="2">
        <v>45545</v>
      </c>
      <c r="D16" t="s">
        <v>27</v>
      </c>
      <c r="E16">
        <f t="shared" si="1"/>
        <v>14</v>
      </c>
      <c r="F16" t="s">
        <v>23</v>
      </c>
      <c r="G16" t="str">
        <f t="shared" si="2"/>
        <v>2 semanas</v>
      </c>
      <c r="H16">
        <v>14.8979</v>
      </c>
      <c r="I16">
        <v>14.6388</v>
      </c>
      <c r="J16">
        <v>14.922499999999999</v>
      </c>
      <c r="K16">
        <v>1</v>
      </c>
      <c r="L16" t="s">
        <v>29</v>
      </c>
      <c r="M16" t="s">
        <v>25</v>
      </c>
      <c r="N16" t="s">
        <v>31</v>
      </c>
      <c r="O16" s="10">
        <f>H29-H31</f>
        <v>7.0000000000014495E-4</v>
      </c>
      <c r="P16" s="10">
        <f t="shared" ref="P16:Q16" si="16">I29-I31</f>
        <v>0</v>
      </c>
      <c r="Q16" s="10"/>
      <c r="R16">
        <v>16</v>
      </c>
      <c r="S16" s="4" cm="1">
        <f t="array" aca="1" ref="S16" ca="1">IF(OR(INDIRECT("H"&amp;(2+(ROWS($Q$2:Q16)-1)*3))=0,INDIRECT("H"&amp;(4+(ROWS($Q$2:Q16)-1)*3))=0),0,INDIRECT("H"&amp;(4+(ROWS($Q$2:Q16)-1)*3))/INDIRECT("H"&amp;(2+(ROWS($Q$2:Q16)-1)*3)))*100</f>
        <v>99.996014983661425</v>
      </c>
      <c r="T16" s="4" cm="1">
        <f t="array" aca="1" ref="T16" ca="1">IF(OR(INDIRECT("I"&amp;(2+(ROWS($Q$2:R16)-1)*3))=0,INDIRECT("I"&amp;(4+(ROWS($Q$2:R16)-1)*3))=0),0,INDIRECT("I"&amp;(4+(ROWS($Q$2:R16)-1)*3))/INDIRECT("I"&amp;(2+(ROWS($Q$2:R16)-1)*3)))*100</f>
        <v>0</v>
      </c>
      <c r="U16" s="4" cm="1">
        <f t="array" aca="1" ref="U16" ca="1">IF(OR(INDIRECT("J"&amp;(2+(ROWS($Q$2:S16)-1)*3))=0,INDIRECT("J"&amp;(4+(ROWS($Q$2:S16)-1)*3))=0),0,INDIRECT("J"&amp;(4+(ROWS($Q$2:S16)-1)*3))/INDIRECT("J"&amp;(2+(ROWS($Q$2:S16)-1)*3)))*100</f>
        <v>99.996558914819374</v>
      </c>
      <c r="V16" s="4" cm="1">
        <f t="array" aca="1" ref="V16" ca="1">IF(OR(INDIRECT("H"&amp;(3+(ROWS($Q$2:T16)-1)*3))=0,INDIRECT("H"&amp;(4+(ROWS($Q$2:T16)-1)*3))=0),0,INDIRECT("H"&amp;(4+(ROWS($Q$2:T16)-1)*3))/INDIRECT("H"&amp;(3+(ROWS($Q$2:T16)-1)*3)))*100</f>
        <v>99.996014983661425</v>
      </c>
      <c r="W16" s="4" cm="1">
        <f t="array" aca="1" ref="W16" ca="1">IF(OR(INDIRECT("I"&amp;(3+(ROWS($Q$2:U16)-1)*3))=0,INDIRECT("I"&amp;(4+(ROWS($Q$2:U16)-1)*3))=0),0,INDIRECT("I"&amp;(4+(ROWS($Q$2:U16)-1)*3))/INDIRECT("I"&amp;(3+(ROWS($Q$2:U16)-1)*3)))*100</f>
        <v>0</v>
      </c>
      <c r="X16" s="4" cm="1">
        <f t="array" aca="1" ref="X16" ca="1">IF(OR(INDIRECT("J"&amp;(3+(ROWS($Q$2:V16)-1)*3))=0,INDIRECT("J"&amp;(4+(ROWS($Q$2:V16)-1)*3))=0),0,INDIRECT("J"&amp;(4+(ROWS($Q$2:V16)-1)*3))/INDIRECT("J"&amp;(3+(ROWS($Q$2:V16)-1)*3)))*100</f>
        <v>99.996558914819374</v>
      </c>
      <c r="Y16" t="str" cm="1">
        <f t="array" aca="1" ref="Y16" ca="1">INDIRECT("G"&amp;(2+(ROWS($Q$2:Q16)-1)*3))</f>
        <v>semanal</v>
      </c>
      <c r="AA16">
        <f>4+(ROWS($Q$2:S16)-1)*3</f>
        <v>46</v>
      </c>
      <c r="AB16" s="10" cm="1">
        <f t="array" aca="1" ref="AB16" ca="1">IF(OR(INDIRECT("H"&amp;(2+(ROWS($Q$2:Q16)-1)*3))=0,INDIRECT("H"&amp;(4+(ROWS($Q$2:Q16)-1)*3))=0),0,INDIRECT("H"&amp;(4+(ROWS($Q$2:Q16)-1)*3))-INDIRECT("H"&amp;(2+(ROWS($Q$2:Q16)-1)*3)))*-100</f>
        <v>6.0000000000037801E-2</v>
      </c>
      <c r="AC16" s="10" cm="1">
        <f t="array" aca="1" ref="AC16" ca="1">IF(OR(INDIRECT("I"&amp;(2+(ROWS($Q$2:R16)-1)*3))=0,INDIRECT("I"&amp;(4+(ROWS($Q$2:R16)-1)*3))=0),0,INDIRECT("I"&amp;(4+(ROWS($Q$2:R16)-1)*3))-INDIRECT("I"&amp;(2+(ROWS($Q$2:R16)-1)*3)))*-100</f>
        <v>0</v>
      </c>
      <c r="AD16" s="10" cm="1">
        <f t="array" aca="1" ref="AD16" ca="1">IF(OR(INDIRECT("J"&amp;(2+(ROWS($Q$2:S16)-1)*3))=0,INDIRECT("J"&amp;(4+(ROWS($Q$2:S16)-1)*3))=0),0,INDIRECT("J"&amp;(4+(ROWS($Q$2:S16)-1)*3))-INDIRECT("J"&amp;(2+(ROWS($Q$2:S16)-1)*3)))*-100</f>
        <v>5.0000000000061107E-2</v>
      </c>
      <c r="AE16" t="str" cm="1">
        <f t="array" aca="1" ref="AE16" ca="1">INDIRECT("G"&amp;(2+(ROWS($Q$2:W16)-1)*3))</f>
        <v>semanal</v>
      </c>
    </row>
    <row r="17" spans="1:31" x14ac:dyDescent="0.25">
      <c r="A17">
        <v>7</v>
      </c>
      <c r="B17" s="2">
        <v>45538</v>
      </c>
      <c r="C17" s="2">
        <v>45545</v>
      </c>
      <c r="D17" t="s">
        <v>22</v>
      </c>
      <c r="E17">
        <f t="shared" si="1"/>
        <v>7</v>
      </c>
      <c r="F17" t="s">
        <v>23</v>
      </c>
      <c r="G17" t="str">
        <f t="shared" si="2"/>
        <v>semanal</v>
      </c>
      <c r="H17">
        <v>15.056900000000001</v>
      </c>
      <c r="I17">
        <v>0</v>
      </c>
      <c r="J17">
        <v>14.530099999999999</v>
      </c>
      <c r="K17">
        <v>1</v>
      </c>
      <c r="L17" t="s">
        <v>24</v>
      </c>
      <c r="M17" t="s">
        <v>25</v>
      </c>
      <c r="N17" t="s">
        <v>31</v>
      </c>
      <c r="O17" s="10">
        <f t="shared" ref="O17" si="17">H19-H21</f>
        <v>0.15850000000000009</v>
      </c>
      <c r="P17" s="10"/>
      <c r="R17">
        <v>17</v>
      </c>
      <c r="S17" s="4" cm="1">
        <f t="array" aca="1" ref="S17" ca="1">IF(OR(INDIRECT("H"&amp;(2+(ROWS($Q$2:Q17)-1)*3))=0,INDIRECT("H"&amp;(4+(ROWS($Q$2:Q17)-1)*3))=0),0,INDIRECT("H"&amp;(4+(ROWS($Q$2:Q17)-1)*3))/INDIRECT("H"&amp;(2+(ROWS($Q$2:Q17)-1)*3)))*100</f>
        <v>99.978113227569366</v>
      </c>
      <c r="T17" s="4" cm="1">
        <f t="array" aca="1" ref="T17" ca="1">IF(OR(INDIRECT("I"&amp;(2+(ROWS($Q$2:R17)-1)*3))=0,INDIRECT("I"&amp;(4+(ROWS($Q$2:R17)-1)*3))=0),0,INDIRECT("I"&amp;(4+(ROWS($Q$2:R17)-1)*3))/INDIRECT("I"&amp;(2+(ROWS($Q$2:R17)-1)*3)))*100</f>
        <v>99.972955430549547</v>
      </c>
      <c r="U17" s="4" cm="1">
        <f t="array" aca="1" ref="U17" ca="1">IF(OR(INDIRECT("J"&amp;(2+(ROWS($Q$2:S17)-1)*3))=0,INDIRECT("J"&amp;(4+(ROWS($Q$2:S17)-1)*3))=0),0,INDIRECT("J"&amp;(4+(ROWS($Q$2:S17)-1)*3))/INDIRECT("J"&amp;(2+(ROWS($Q$2:S17)-1)*3)))*100</f>
        <v>99.980287539096381</v>
      </c>
      <c r="V17" s="4" cm="1">
        <f t="array" aca="1" ref="V17" ca="1">IF(OR(INDIRECT("H"&amp;(3+(ROWS($Q$2:T17)-1)*3))=0,INDIRECT("H"&amp;(4+(ROWS($Q$2:T17)-1)*3))=0),0,INDIRECT("H"&amp;(4+(ROWS($Q$2:T17)-1)*3))/INDIRECT("H"&amp;(3+(ROWS($Q$2:T17)-1)*3)))*100</f>
        <v>99.985407753789019</v>
      </c>
      <c r="W17" s="4" cm="1">
        <f t="array" aca="1" ref="W17" ca="1">IF(OR(INDIRECT("I"&amp;(3+(ROWS($Q$2:U17)-1)*3))=0,INDIRECT("I"&amp;(4+(ROWS($Q$2:U17)-1)*3))=0),0,INDIRECT("I"&amp;(4+(ROWS($Q$2:U17)-1)*3))/INDIRECT("I"&amp;(3+(ROWS($Q$2:U17)-1)*3)))*100</f>
        <v>99.97971520142805</v>
      </c>
      <c r="X17" s="4" cm="1">
        <f t="array" aca="1" ref="X17" ca="1">IF(OR(INDIRECT("J"&amp;(3+(ROWS($Q$2:V17)-1)*3))=0,INDIRECT("J"&amp;(4+(ROWS($Q$2:V17)-1)*3))=0),0,INDIRECT("J"&amp;(4+(ROWS($Q$2:V17)-1)*3))/INDIRECT("J"&amp;(3+(ROWS($Q$2:V17)-1)*3)))*100</f>
        <v>99.982258435456842</v>
      </c>
      <c r="Y17" t="str" cm="1">
        <f t="array" aca="1" ref="Y17" ca="1">INDIRECT("G"&amp;(2+(ROWS($Q$2:Q17)-1)*3))</f>
        <v>Cuatrimestral</v>
      </c>
      <c r="AB17" s="10" cm="1">
        <f t="array" aca="1" ref="AB17" ca="1">IF(OR(INDIRECT("H"&amp;(2+(ROWS($Q$2:Q17)-1)*3))=0,INDIRECT("H"&amp;(4+(ROWS($Q$2:Q17)-1)*3))=0),0,INDIRECT("H"&amp;(4+(ROWS($Q$2:Q17)-1)*3))-INDIRECT("H"&amp;(2+(ROWS($Q$2:Q17)-1)*3)))*-100</f>
        <v>0.33000000000011909</v>
      </c>
      <c r="AC17" s="10" cm="1">
        <f t="array" aca="1" ref="AC17" ca="1">IF(OR(INDIRECT("I"&amp;(2+(ROWS($Q$2:R17)-1)*3))=0,INDIRECT("I"&amp;(4+(ROWS($Q$2:R17)-1)*3))=0),0,INDIRECT("I"&amp;(4+(ROWS($Q$2:R17)-1)*3))-INDIRECT("I"&amp;(2+(ROWS($Q$2:R17)-1)*3)))*-100</f>
        <v>0.39999999999995595</v>
      </c>
      <c r="AD17" s="10" cm="1">
        <f t="array" aca="1" ref="AD17" ca="1">IF(OR(INDIRECT("J"&amp;(2+(ROWS($Q$2:S17)-1)*3))=0,INDIRECT("J"&amp;(4+(ROWS($Q$2:S17)-1)*3))=0),0,INDIRECT("J"&amp;(4+(ROWS($Q$2:S17)-1)*3))-INDIRECT("J"&amp;(2+(ROWS($Q$2:S17)-1)*3)))*-100</f>
        <v>0.30000000000001137</v>
      </c>
      <c r="AE17" t="str" cm="1">
        <f t="array" aca="1" ref="AE17" ca="1">INDIRECT("G"&amp;(2+(ROWS($Q$2:W17)-1)*3))</f>
        <v>Cuatrimestral</v>
      </c>
    </row>
    <row r="18" spans="1:31" x14ac:dyDescent="0.25">
      <c r="A18">
        <v>8</v>
      </c>
      <c r="B18" s="2">
        <v>45538</v>
      </c>
      <c r="C18" s="2">
        <v>45552</v>
      </c>
      <c r="D18" t="s">
        <v>27</v>
      </c>
      <c r="E18">
        <f t="shared" si="1"/>
        <v>14</v>
      </c>
      <c r="F18" t="s">
        <v>23</v>
      </c>
      <c r="G18" t="str">
        <f t="shared" si="2"/>
        <v>2 semanas</v>
      </c>
      <c r="H18">
        <v>15.057</v>
      </c>
      <c r="I18">
        <v>0</v>
      </c>
      <c r="J18">
        <v>14.530200000000001</v>
      </c>
      <c r="K18">
        <v>1</v>
      </c>
      <c r="L18" t="s">
        <v>24</v>
      </c>
      <c r="M18" t="s">
        <v>25</v>
      </c>
      <c r="N18" t="s">
        <v>30</v>
      </c>
      <c r="O18">
        <f t="shared" ref="O18" si="18">H18-H20</f>
        <v>0.1590000000000007</v>
      </c>
      <c r="R18">
        <v>18</v>
      </c>
      <c r="S18" s="4" cm="1">
        <f t="array" aca="1" ref="S18" ca="1">IF(OR(INDIRECT("H"&amp;(2+(ROWS($Q$2:Q18)-1)*3))=0,INDIRECT("H"&amp;(4+(ROWS($Q$2:Q18)-1)*3))=0),0,INDIRECT("H"&amp;(4+(ROWS($Q$2:Q18)-1)*3))/INDIRECT("H"&amp;(2+(ROWS($Q$2:Q18)-1)*3)))*100</f>
        <v>0</v>
      </c>
      <c r="T18" s="4" cm="1">
        <f t="array" aca="1" ref="T18" ca="1">IF(OR(INDIRECT("I"&amp;(2+(ROWS($Q$2:R18)-1)*3))=0,INDIRECT("I"&amp;(4+(ROWS($Q$2:R18)-1)*3))=0),0,INDIRECT("I"&amp;(4+(ROWS($Q$2:R18)-1)*3))/INDIRECT("I"&amp;(2+(ROWS($Q$2:R18)-1)*3)))*100</f>
        <v>99.990677667019582</v>
      </c>
      <c r="U18" s="4" cm="1">
        <f t="array" aca="1" ref="U18" ca="1">IF(OR(INDIRECT("J"&amp;(2+(ROWS($Q$2:S18)-1)*3))=0,INDIRECT("J"&amp;(4+(ROWS($Q$2:S18)-1)*3))=0),0,INDIRECT("J"&amp;(4+(ROWS($Q$2:S18)-1)*3))/INDIRECT("J"&amp;(2+(ROWS($Q$2:S18)-1)*3)))*100</f>
        <v>99.992698598130843</v>
      </c>
      <c r="V18" s="4" cm="1">
        <f t="array" aca="1" ref="V18" ca="1">IF(OR(INDIRECT("H"&amp;(3+(ROWS($Q$2:T18)-1)*3))=0,INDIRECT("H"&amp;(4+(ROWS($Q$2:T18)-1)*3))=0),0,INDIRECT("H"&amp;(4+(ROWS($Q$2:T18)-1)*3))/INDIRECT("H"&amp;(3+(ROWS($Q$2:T18)-1)*3)))*100</f>
        <v>0</v>
      </c>
      <c r="W18" s="4" cm="1">
        <f t="array" aca="1" ref="W18" ca="1">IF(OR(INDIRECT("I"&amp;(3+(ROWS($Q$2:U18)-1)*3))=0,INDIRECT("I"&amp;(4+(ROWS($Q$2:U18)-1)*3))=0),0,INDIRECT("I"&amp;(4+(ROWS($Q$2:U18)-1)*3))/INDIRECT("I"&amp;(3+(ROWS($Q$2:U18)-1)*3)))*100</f>
        <v>99.990677667019582</v>
      </c>
      <c r="X18" s="4" cm="1">
        <f t="array" aca="1" ref="X18" ca="1">IF(OR(INDIRECT("J"&amp;(3+(ROWS($Q$2:V18)-1)*3))=0,INDIRECT("J"&amp;(4+(ROWS($Q$2:V18)-1)*3))=0),0,INDIRECT("J"&amp;(4+(ROWS($Q$2:V18)-1)*3))/INDIRECT("J"&amp;(3+(ROWS($Q$2:V18)-1)*3)))*100</f>
        <v>99.99402604643754</v>
      </c>
      <c r="Y18" t="str" cm="1">
        <f t="array" aca="1" ref="Y18" ca="1">INDIRECT("G"&amp;(2+(ROWS($Q$2:Q18)-1)*3))</f>
        <v>2 semanas</v>
      </c>
      <c r="AB18" s="10" cm="1">
        <f t="array" aca="1" ref="AB18" ca="1">IF(OR(INDIRECT("H"&amp;(2+(ROWS($Q$2:Q18)-1)*3))=0,INDIRECT("H"&amp;(4+(ROWS($Q$2:Q18)-1)*3))=0),0,INDIRECT("H"&amp;(4+(ROWS($Q$2:Q18)-1)*3))-INDIRECT("H"&amp;(2+(ROWS($Q$2:Q18)-1)*3)))*-100</f>
        <v>0</v>
      </c>
      <c r="AC18" s="10" cm="1">
        <f t="array" aca="1" ref="AC18" ca="1">IF(OR(INDIRECT("I"&amp;(2+(ROWS($Q$2:R18)-1)*3))=0,INDIRECT("I"&amp;(4+(ROWS($Q$2:R18)-1)*3))=0),0,INDIRECT("I"&amp;(4+(ROWS($Q$2:R18)-1)*3))-INDIRECT("I"&amp;(2+(ROWS($Q$2:R18)-1)*3)))*-100</f>
        <v>0.14000000000002899</v>
      </c>
      <c r="AD18" s="10" cm="1">
        <f t="array" aca="1" ref="AD18" ca="1">IF(OR(INDIRECT("J"&amp;(2+(ROWS($Q$2:S18)-1)*3))=0,INDIRECT("J"&amp;(4+(ROWS($Q$2:S18)-1)*3))=0),0,INDIRECT("J"&amp;(4+(ROWS($Q$2:S18)-1)*3))-INDIRECT("J"&amp;(2+(ROWS($Q$2:S18)-1)*3)))*-100</f>
        <v>0.10999999999992127</v>
      </c>
      <c r="AE18" t="str" cm="1">
        <f t="array" aca="1" ref="AE18" ca="1">INDIRECT("G"&amp;(2+(ROWS($Q$2:W18)-1)*3))</f>
        <v>2 semanas</v>
      </c>
    </row>
    <row r="19" spans="1:31" x14ac:dyDescent="0.25">
      <c r="A19">
        <v>8</v>
      </c>
      <c r="B19" s="2">
        <v>45496</v>
      </c>
      <c r="C19" s="2">
        <v>45552</v>
      </c>
      <c r="D19" t="s">
        <v>27</v>
      </c>
      <c r="E19">
        <f t="shared" si="1"/>
        <v>56</v>
      </c>
      <c r="F19" t="s">
        <v>23</v>
      </c>
      <c r="G19" t="str">
        <f t="shared" si="2"/>
        <v>2 Meses</v>
      </c>
      <c r="H19">
        <v>15.0563</v>
      </c>
      <c r="I19">
        <v>0</v>
      </c>
      <c r="J19">
        <v>14.529500000000001</v>
      </c>
      <c r="K19">
        <v>1</v>
      </c>
      <c r="L19" t="s">
        <v>29</v>
      </c>
      <c r="M19" t="s">
        <v>25</v>
      </c>
      <c r="N19" t="s">
        <v>30</v>
      </c>
      <c r="O19">
        <f t="shared" ref="O19" si="19">H21-H23</f>
        <v>-0.1590000000000007</v>
      </c>
      <c r="R19">
        <v>19</v>
      </c>
      <c r="S19" s="4" cm="1">
        <f t="array" aca="1" ref="S19" ca="1">IF(OR(INDIRECT("H"&amp;(2+(ROWS($Q$2:Q19)-1)*3))=0,INDIRECT("H"&amp;(4+(ROWS($Q$2:Q19)-1)*3))=0),0,INDIRECT("H"&amp;(4+(ROWS($Q$2:Q19)-1)*3))/INDIRECT("H"&amp;(2+(ROWS($Q$2:Q19)-1)*3)))*100</f>
        <v>99.994692707780487</v>
      </c>
      <c r="T19" s="4" cm="1">
        <f t="array" aca="1" ref="T19" ca="1">IF(OR(INDIRECT("I"&amp;(2+(ROWS($Q$2:R19)-1)*3))=0,INDIRECT("I"&amp;(4+(ROWS($Q$2:R19)-1)*3))=0),0,INDIRECT("I"&amp;(4+(ROWS($Q$2:R19)-1)*3))/INDIRECT("I"&amp;(2+(ROWS($Q$2:R19)-1)*3)))*100</f>
        <v>99.995266144139151</v>
      </c>
      <c r="U19" s="4" cm="1">
        <f t="array" aca="1" ref="U19" ca="1">IF(OR(INDIRECT("J"&amp;(2+(ROWS($Q$2:S19)-1)*3))=0,INDIRECT("J"&amp;(4+(ROWS($Q$2:S19)-1)*3))=0),0,INDIRECT("J"&amp;(4+(ROWS($Q$2:S19)-1)*3))/INDIRECT("J"&amp;(2+(ROWS($Q$2:S19)-1)*3)))*100</f>
        <v>99.996712191850179</v>
      </c>
      <c r="V19" s="4" cm="1">
        <f t="array" aca="1" ref="V19" ca="1">IF(OR(INDIRECT("H"&amp;(3+(ROWS($Q$2:T19)-1)*3))=0,INDIRECT("H"&amp;(4+(ROWS($Q$2:T19)-1)*3))=0),0,INDIRECT("H"&amp;(4+(ROWS($Q$2:T19)-1)*3))/INDIRECT("H"&amp;(3+(ROWS($Q$2:T19)-1)*3)))*100</f>
        <v>99.994692707780487</v>
      </c>
      <c r="W19" s="4" cm="1">
        <f t="array" aca="1" ref="W19" ca="1">IF(OR(INDIRECT("I"&amp;(3+(ROWS($Q$2:U19)-1)*3))=0,INDIRECT("I"&amp;(4+(ROWS($Q$2:U19)-1)*3))=0),0,INDIRECT("I"&amp;(4+(ROWS($Q$2:U19)-1)*3))/INDIRECT("I"&amp;(3+(ROWS($Q$2:U19)-1)*3)))*100</f>
        <v>99.995266144139151</v>
      </c>
      <c r="X19" s="4" cm="1">
        <f t="array" aca="1" ref="X19" ca="1">IF(OR(INDIRECT("J"&amp;(3+(ROWS($Q$2:V19)-1)*3))=0,INDIRECT("J"&amp;(4+(ROWS($Q$2:V19)-1)*3))=0),0,INDIRECT("J"&amp;(4+(ROWS($Q$2:V19)-1)*3))/INDIRECT("J"&amp;(3+(ROWS($Q$2:V19)-1)*3)))*100</f>
        <v>99.996054656163281</v>
      </c>
      <c r="Y19" t="str" cm="1">
        <f t="array" aca="1" ref="Y19" ca="1">INDIRECT("G"&amp;(2+(ROWS($Q$2:Q19)-1)*3))</f>
        <v>semanal</v>
      </c>
      <c r="AB19" s="10" cm="1">
        <f t="array" aca="1" ref="AB19" ca="1">IF(OR(INDIRECT("H"&amp;(2+(ROWS($Q$2:Q19)-1)*3))=0,INDIRECT("H"&amp;(4+(ROWS($Q$2:Q19)-1)*3))=0),0,INDIRECT("H"&amp;(4+(ROWS($Q$2:Q19)-1)*3))-INDIRECT("H"&amp;(2+(ROWS($Q$2:Q19)-1)*3)))*-100</f>
        <v>7.9999999999991189E-2</v>
      </c>
      <c r="AC19" s="10" cm="1">
        <f t="array" aca="1" ref="AC19" ca="1">IF(OR(INDIRECT("I"&amp;(2+(ROWS($Q$2:R19)-1)*3))=0,INDIRECT("I"&amp;(4+(ROWS($Q$2:R19)-1)*3))=0),0,INDIRECT("I"&amp;(4+(ROWS($Q$2:R19)-1)*3))-INDIRECT("I"&amp;(2+(ROWS($Q$2:R19)-1)*3)))*-100</f>
        <v>7.0000000000014495E-2</v>
      </c>
      <c r="AD19" s="10" cm="1">
        <f t="array" aca="1" ref="AD19" ca="1">IF(OR(INDIRECT("J"&amp;(2+(ROWS($Q$2:S19)-1)*3))=0,INDIRECT("J"&amp;(4+(ROWS($Q$2:S19)-1)*3))=0),0,INDIRECT("J"&amp;(4+(ROWS($Q$2:S19)-1)*3))-INDIRECT("J"&amp;(2+(ROWS($Q$2:S19)-1)*3)))*-100</f>
        <v>5.0000000000061107E-2</v>
      </c>
      <c r="AE19" t="str" cm="1">
        <f t="array" aca="1" ref="AE19" ca="1">INDIRECT("G"&amp;(2+(ROWS($Q$2:W19)-1)*3))</f>
        <v>semanal</v>
      </c>
    </row>
    <row r="20" spans="1:31" x14ac:dyDescent="0.25">
      <c r="A20">
        <v>8</v>
      </c>
      <c r="B20" s="2">
        <v>45545</v>
      </c>
      <c r="C20" s="2">
        <v>45552</v>
      </c>
      <c r="D20" t="s">
        <v>22</v>
      </c>
      <c r="E20">
        <f t="shared" si="1"/>
        <v>7</v>
      </c>
      <c r="F20" t="s">
        <v>23</v>
      </c>
      <c r="G20" t="str">
        <f t="shared" si="2"/>
        <v>semanal</v>
      </c>
      <c r="H20">
        <v>14.898</v>
      </c>
      <c r="I20">
        <v>14.6393</v>
      </c>
      <c r="J20">
        <v>14.920999999999999</v>
      </c>
      <c r="K20">
        <v>1</v>
      </c>
      <c r="L20" t="s">
        <v>24</v>
      </c>
      <c r="M20" t="s">
        <v>25</v>
      </c>
      <c r="N20" t="s">
        <v>30</v>
      </c>
      <c r="O20">
        <f t="shared" ref="O20" si="20">H20-H22</f>
        <v>2.9999999999930083E-4</v>
      </c>
      <c r="R20">
        <v>20</v>
      </c>
      <c r="S20" s="4" cm="1">
        <f t="array" aca="1" ref="S20" ca="1">IF(OR(INDIRECT("H"&amp;(2+(ROWS($Q$2:Q20)-1)*3))=0,INDIRECT("H"&amp;(4+(ROWS($Q$2:Q20)-1)*3))=0),0,INDIRECT("H"&amp;(4+(ROWS($Q$2:Q20)-1)*3))/INDIRECT("H"&amp;(2+(ROWS($Q$2:Q20)-1)*3)))*100</f>
        <v>0</v>
      </c>
      <c r="T20" s="4" cm="1">
        <f t="array" aca="1" ref="T20" ca="1">IF(OR(INDIRECT("I"&amp;(2+(ROWS($Q$2:R20)-1)*3))=0,INDIRECT("I"&amp;(4+(ROWS($Q$2:R20)-1)*3))=0),0,INDIRECT("I"&amp;(4+(ROWS($Q$2:R20)-1)*3))/INDIRECT("I"&amp;(2+(ROWS($Q$2:R20)-1)*3)))*100</f>
        <v>99.998668131721772</v>
      </c>
      <c r="U20" s="4" cm="1">
        <f t="array" aca="1" ref="U20" ca="1">IF(OR(INDIRECT("J"&amp;(2+(ROWS($Q$2:S20)-1)*3))=0,INDIRECT("J"&amp;(4+(ROWS($Q$2:S20)-1)*3))=0),0,INDIRECT("J"&amp;(4+(ROWS($Q$2:S20)-1)*3))/INDIRECT("J"&amp;(2+(ROWS($Q$2:S20)-1)*3)))*100</f>
        <v>99.998008589616788</v>
      </c>
      <c r="V20" s="4" cm="1">
        <f t="array" aca="1" ref="V20" ca="1">IF(OR(INDIRECT("H"&amp;(3+(ROWS($Q$2:T20)-1)*3))=0,INDIRECT("H"&amp;(4+(ROWS($Q$2:T20)-1)*3))=0),0,INDIRECT("H"&amp;(4+(ROWS($Q$2:T20)-1)*3))/INDIRECT("H"&amp;(3+(ROWS($Q$2:T20)-1)*3)))*100</f>
        <v>0</v>
      </c>
      <c r="W20" s="4" cm="1">
        <f t="array" aca="1" ref="W20" ca="1">IF(OR(INDIRECT("I"&amp;(3+(ROWS($Q$2:U20)-1)*3))=0,INDIRECT("I"&amp;(4+(ROWS($Q$2:U20)-1)*3))=0),0,INDIRECT("I"&amp;(4+(ROWS($Q$2:U20)-1)*3))/INDIRECT("I"&amp;(3+(ROWS($Q$2:U20)-1)*3)))*100</f>
        <v>99.996670395823344</v>
      </c>
      <c r="X20" s="4" cm="1">
        <f t="array" aca="1" ref="X20" ca="1">IF(OR(INDIRECT("J"&amp;(3+(ROWS($Q$2:V20)-1)*3))=0,INDIRECT("J"&amp;(4+(ROWS($Q$2:V20)-1)*3))=0),0,INDIRECT("J"&amp;(4+(ROWS($Q$2:V20)-1)*3))/INDIRECT("J"&amp;(3+(ROWS($Q$2:V20)-1)*3)))*100</f>
        <v>99.99734480378099</v>
      </c>
      <c r="Y20" t="str" cm="1">
        <f t="array" aca="1" ref="Y20" ca="1">INDIRECT("G"&amp;(2+(ROWS($Q$2:Q20)-1)*3))</f>
        <v>semanal</v>
      </c>
      <c r="AB20" s="10" cm="1">
        <f t="array" aca="1" ref="AB20" ca="1">IF(OR(INDIRECT("H"&amp;(2+(ROWS($Q$2:Q20)-1)*3))=0,INDIRECT("H"&amp;(4+(ROWS($Q$2:Q20)-1)*3))=0),0,INDIRECT("H"&amp;(4+(ROWS($Q$2:Q20)-1)*3))-INDIRECT("H"&amp;(2+(ROWS($Q$2:Q20)-1)*3)))*-100</f>
        <v>0</v>
      </c>
      <c r="AC20" s="10" cm="1">
        <f t="array" aca="1" ref="AC20" ca="1">IF(OR(INDIRECT("I"&amp;(2+(ROWS($Q$2:R20)-1)*3))=0,INDIRECT("I"&amp;(4+(ROWS($Q$2:R20)-1)*3))=0),0,INDIRECT("I"&amp;(4+(ROWS($Q$2:R20)-1)*3))-INDIRECT("I"&amp;(2+(ROWS($Q$2:R20)-1)*3)))*-100</f>
        <v>2.0000000000131024E-2</v>
      </c>
      <c r="AD20" s="10" cm="1">
        <f t="array" aca="1" ref="AD20" ca="1">IF(OR(INDIRECT("J"&amp;(2+(ROWS($Q$2:S20)-1)*3))=0,INDIRECT("J"&amp;(4+(ROWS($Q$2:S20)-1)*3))=0),0,INDIRECT("J"&amp;(4+(ROWS($Q$2:S20)-1)*3))-INDIRECT("J"&amp;(2+(ROWS($Q$2:S20)-1)*3)))*-100</f>
        <v>3.0000000000107718E-2</v>
      </c>
      <c r="AE20" t="str" cm="1">
        <f t="array" aca="1" ref="AE20" ca="1">INDIRECT("G"&amp;(2+(ROWS($Q$2:W20)-1)*3))</f>
        <v>semanal</v>
      </c>
    </row>
    <row r="21" spans="1:31" x14ac:dyDescent="0.25">
      <c r="A21">
        <v>9</v>
      </c>
      <c r="B21" s="2">
        <v>45545</v>
      </c>
      <c r="C21" s="2">
        <v>45559</v>
      </c>
      <c r="D21" t="s">
        <v>27</v>
      </c>
      <c r="E21">
        <f t="shared" si="1"/>
        <v>14</v>
      </c>
      <c r="F21" t="s">
        <v>23</v>
      </c>
      <c r="G21" t="str">
        <f t="shared" si="2"/>
        <v>2 semanas</v>
      </c>
      <c r="H21">
        <v>14.8978</v>
      </c>
      <c r="I21">
        <v>14.638999999999999</v>
      </c>
      <c r="J21">
        <v>14.9208</v>
      </c>
      <c r="K21">
        <v>1</v>
      </c>
      <c r="L21" t="s">
        <v>24</v>
      </c>
      <c r="M21" t="s">
        <v>25</v>
      </c>
      <c r="N21" t="s">
        <v>30</v>
      </c>
      <c r="O21">
        <f t="shared" ref="O21" si="21">H23-H25</f>
        <v>3.0000000000107718E-4</v>
      </c>
      <c r="R21">
        <v>21</v>
      </c>
      <c r="S21" s="4" cm="1">
        <f t="array" aca="1" ref="S21" ca="1">IF(OR(INDIRECT("H"&amp;(2+(ROWS($Q$2:Q21)-1)*3))=0,INDIRECT("H"&amp;(4+(ROWS($Q$2:Q21)-1)*3))=0),0,INDIRECT("H"&amp;(4+(ROWS($Q$2:Q21)-1)*3))/INDIRECT("H"&amp;(2+(ROWS($Q$2:Q21)-1)*3)))*100</f>
        <v>99.994692073939405</v>
      </c>
      <c r="T21" s="4" cm="1">
        <f t="array" aca="1" ref="T21" ca="1">IF(OR(INDIRECT("I"&amp;(2+(ROWS($Q$2:R21)-1)*3))=0,INDIRECT("I"&amp;(4+(ROWS($Q$2:R21)-1)*3))=0),0,INDIRECT("I"&amp;(4+(ROWS($Q$2:R21)-1)*3))/INDIRECT("I"&amp;(2+(ROWS($Q$2:R21)-1)*3)))*100</f>
        <v>99.994589879016175</v>
      </c>
      <c r="U21" s="4" cm="1">
        <f t="array" aca="1" ref="U21" ca="1">IF(OR(INDIRECT("J"&amp;(2+(ROWS($Q$2:S21)-1)*3))=0,INDIRECT("J"&amp;(4+(ROWS($Q$2:S21)-1)*3))=0),0,INDIRECT("J"&amp;(4+(ROWS($Q$2:S21)-1)*3))/INDIRECT("J"&amp;(2+(ROWS($Q$2:S21)-1)*3)))*100</f>
        <v>99.997369684296359</v>
      </c>
      <c r="V21" s="4" cm="1">
        <f t="array" aca="1" ref="V21" ca="1">IF(OR(INDIRECT("H"&amp;(3+(ROWS($Q$2:T21)-1)*3))=0,INDIRECT("H"&amp;(4+(ROWS($Q$2:T21)-1)*3))=0),0,INDIRECT("H"&amp;(4+(ROWS($Q$2:T21)-1)*3))/INDIRECT("H"&amp;(3+(ROWS($Q$2:T21)-1)*3)))*100</f>
        <v>99.99535553388138</v>
      </c>
      <c r="W21" s="4" cm="1">
        <f t="array" aca="1" ref="W21" ca="1">IF(OR(INDIRECT("I"&amp;(3+(ROWS($Q$2:U21)-1)*3))=0,INDIRECT("I"&amp;(4+(ROWS($Q$2:U21)-1)*3))=0),0,INDIRECT("I"&amp;(4+(ROWS($Q$2:U21)-1)*3))/INDIRECT("I"&amp;(3+(ROWS($Q$2:U21)-1)*3)))*100</f>
        <v>99.99526611212552</v>
      </c>
      <c r="X21" s="4" cm="1">
        <f t="array" aca="1" ref="X21" ca="1">IF(OR(INDIRECT("J"&amp;(3+(ROWS($Q$2:V21)-1)*3))=0,INDIRECT("J"&amp;(4+(ROWS($Q$2:V21)-1)*3))=0),0,INDIRECT("J"&amp;(4+(ROWS($Q$2:V21)-1)*3))/INDIRECT("J"&amp;(3+(ROWS($Q$2:V21)-1)*3)))*100</f>
        <v>99.996054578333059</v>
      </c>
      <c r="Y21" t="str" cm="1">
        <f t="array" aca="1" ref="Y21" ca="1">INDIRECT("G"&amp;(2+(ROWS($Q$2:Q21)-1)*3))</f>
        <v>semanal</v>
      </c>
      <c r="AB21" s="10" cm="1">
        <f t="array" aca="1" ref="AB21" ca="1">IF(OR(INDIRECT("H"&amp;(2+(ROWS($Q$2:Q21)-1)*3))=0,INDIRECT("H"&amp;(4+(ROWS($Q$2:Q21)-1)*3))=0),0,INDIRECT("H"&amp;(4+(ROWS($Q$2:Q21)-1)*3))-INDIRECT("H"&amp;(2+(ROWS($Q$2:Q21)-1)*3)))*-100</f>
        <v>7.9999999999991189E-2</v>
      </c>
      <c r="AC21" s="10" cm="1">
        <f t="array" aca="1" ref="AC21" ca="1">IF(OR(INDIRECT("I"&amp;(2+(ROWS($Q$2:R21)-1)*3))=0,INDIRECT("I"&amp;(4+(ROWS($Q$2:R21)-1)*3))=0),0,INDIRECT("I"&amp;(4+(ROWS($Q$2:R21)-1)*3))-INDIRECT("I"&amp;(2+(ROWS($Q$2:R21)-1)*3)))*-100</f>
        <v>7.9999999999991189E-2</v>
      </c>
      <c r="AD21" s="10" cm="1">
        <f t="array" aca="1" ref="AD21" ca="1">IF(OR(INDIRECT("J"&amp;(2+(ROWS($Q$2:S21)-1)*3))=0,INDIRECT("J"&amp;(4+(ROWS($Q$2:S21)-1)*3))=0),0,INDIRECT("J"&amp;(4+(ROWS($Q$2:S21)-1)*3))-INDIRECT("J"&amp;(2+(ROWS($Q$2:S21)-1)*3)))*-100</f>
        <v>4.0000000000084412E-2</v>
      </c>
      <c r="AE21" t="str" cm="1">
        <f t="array" aca="1" ref="AE21" ca="1">INDIRECT("G"&amp;(2+(ROWS($Q$2:W21)-1)*3))</f>
        <v>semanal</v>
      </c>
    </row>
    <row r="22" spans="1:31" x14ac:dyDescent="0.25">
      <c r="A22">
        <v>9</v>
      </c>
      <c r="B22" s="2">
        <v>45545</v>
      </c>
      <c r="C22" s="2">
        <v>45559</v>
      </c>
      <c r="D22" t="s">
        <v>27</v>
      </c>
      <c r="E22">
        <f t="shared" si="1"/>
        <v>14</v>
      </c>
      <c r="F22" t="s">
        <v>23</v>
      </c>
      <c r="G22" t="str">
        <f t="shared" si="2"/>
        <v>2 semanas</v>
      </c>
      <c r="H22">
        <v>14.8977</v>
      </c>
      <c r="I22">
        <v>14.638400000000001</v>
      </c>
      <c r="J22">
        <v>14.920299999999999</v>
      </c>
      <c r="K22">
        <v>1</v>
      </c>
      <c r="L22" t="s">
        <v>29</v>
      </c>
      <c r="M22" t="s">
        <v>25</v>
      </c>
      <c r="N22" t="s">
        <v>30</v>
      </c>
      <c r="O22">
        <f t="shared" ref="O22" si="22">H22-H24</f>
        <v>-0.1593</v>
      </c>
      <c r="R22">
        <v>22</v>
      </c>
      <c r="S22" s="4" cm="1">
        <f t="array" aca="1" ref="S22" ca="1">IF(OR(INDIRECT("H"&amp;(2+(ROWS($Q$2:Q22)-1)*3))=0,INDIRECT("H"&amp;(4+(ROWS($Q$2:Q22)-1)*3))=0),0,INDIRECT("H"&amp;(4+(ROWS($Q$2:Q22)-1)*3))/INDIRECT("H"&amp;(2+(ROWS($Q$2:Q22)-1)*3)))*100</f>
        <v>0</v>
      </c>
      <c r="T22" s="4" cm="1">
        <f t="array" aca="1" ref="T22" ca="1">IF(OR(INDIRECT("I"&amp;(2+(ROWS($Q$2:R22)-1)*3))=0,INDIRECT("I"&amp;(4+(ROWS($Q$2:R22)-1)*3))=0),0,INDIRECT("I"&amp;(4+(ROWS($Q$2:R22)-1)*3))/INDIRECT("I"&amp;(2+(ROWS($Q$2:R22)-1)*3)))*100</f>
        <v>99.993336487395965</v>
      </c>
      <c r="U22" s="4" cm="1">
        <f t="array" aca="1" ref="U22" ca="1">IF(OR(INDIRECT("J"&amp;(2+(ROWS($Q$2:S22)-1)*3))=0,INDIRECT("J"&amp;(4+(ROWS($Q$2:S22)-1)*3))=0),0,INDIRECT("J"&amp;(4+(ROWS($Q$2:S22)-1)*3))/INDIRECT("J"&amp;(2+(ROWS($Q$2:S22)-1)*3)))*100</f>
        <v>99.995353067307505</v>
      </c>
      <c r="V22" s="4" cm="1">
        <f t="array" aca="1" ref="V22" ca="1">IF(OR(INDIRECT("H"&amp;(3+(ROWS($Q$2:T22)-1)*3))=0,INDIRECT("H"&amp;(4+(ROWS($Q$2:T22)-1)*3))=0),0,INDIRECT("H"&amp;(4+(ROWS($Q$2:T22)-1)*3))/INDIRECT("H"&amp;(3+(ROWS($Q$2:T22)-1)*3)))*100</f>
        <v>0</v>
      </c>
      <c r="W22" s="4" cm="1">
        <f t="array" aca="1" ref="W22" ca="1">IF(OR(INDIRECT("I"&amp;(3+(ROWS($Q$2:U22)-1)*3))=0,INDIRECT("I"&amp;(4+(ROWS($Q$2:U22)-1)*3))=0),0,INDIRECT("I"&amp;(4+(ROWS($Q$2:U22)-1)*3))/INDIRECT("I"&amp;(3+(ROWS($Q$2:U22)-1)*3)))*100</f>
        <v>99.994669118871983</v>
      </c>
      <c r="X22" s="4" cm="1">
        <f t="array" aca="1" ref="X22" ca="1">IF(OR(INDIRECT("J"&amp;(3+(ROWS($Q$2:V22)-1)*3))=0,INDIRECT("J"&amp;(4+(ROWS($Q$2:V22)-1)*3))=0),0,INDIRECT("J"&amp;(4+(ROWS($Q$2:V22)-1)*3))/INDIRECT("J"&amp;(3+(ROWS($Q$2:V22)-1)*3)))*100</f>
        <v>99.995353067307505</v>
      </c>
      <c r="Y22" t="str" cm="1">
        <f t="array" aca="1" ref="Y22" ca="1">INDIRECT("G"&amp;(2+(ROWS($Q$2:Q22)-1)*3))</f>
        <v>semanal</v>
      </c>
      <c r="AB22" s="10" cm="1">
        <f t="array" aca="1" ref="AB22" ca="1">IF(OR(INDIRECT("H"&amp;(2+(ROWS($Q$2:Q22)-1)*3))=0,INDIRECT("H"&amp;(4+(ROWS($Q$2:Q22)-1)*3))=0),0,INDIRECT("H"&amp;(4+(ROWS($Q$2:Q22)-1)*3))-INDIRECT("H"&amp;(2+(ROWS($Q$2:Q22)-1)*3)))*-100</f>
        <v>0</v>
      </c>
      <c r="AC22" s="10" cm="1">
        <f t="array" aca="1" ref="AC22" ca="1">IF(OR(INDIRECT("I"&amp;(2+(ROWS($Q$2:R22)-1)*3))=0,INDIRECT("I"&amp;(4+(ROWS($Q$2:R22)-1)*3))=0),0,INDIRECT("I"&amp;(4+(ROWS($Q$2:R22)-1)*3))-INDIRECT("I"&amp;(2+(ROWS($Q$2:R22)-1)*3)))*-100</f>
        <v>9.9999999999944578E-2</v>
      </c>
      <c r="AD22" s="10" cm="1">
        <f t="array" aca="1" ref="AD22" ca="1">IF(OR(INDIRECT("J"&amp;(2+(ROWS($Q$2:S22)-1)*3))=0,INDIRECT("J"&amp;(4+(ROWS($Q$2:S22)-1)*3))=0),0,INDIRECT("J"&amp;(4+(ROWS($Q$2:S22)-1)*3))-INDIRECT("J"&amp;(2+(ROWS($Q$2:S22)-1)*3)))*-100</f>
        <v>7.0000000000014495E-2</v>
      </c>
      <c r="AE22" t="str" cm="1">
        <f t="array" aca="1" ref="AE22" ca="1">INDIRECT("G"&amp;(2+(ROWS($Q$2:W22)-1)*3))</f>
        <v>semanal</v>
      </c>
    </row>
    <row r="23" spans="1:31" x14ac:dyDescent="0.25">
      <c r="A23">
        <v>9</v>
      </c>
      <c r="B23" s="2">
        <v>45552</v>
      </c>
      <c r="C23" s="2">
        <v>45559</v>
      </c>
      <c r="D23" t="s">
        <v>22</v>
      </c>
      <c r="E23">
        <f t="shared" si="1"/>
        <v>7</v>
      </c>
      <c r="F23" t="s">
        <v>23</v>
      </c>
      <c r="G23" t="str">
        <f t="shared" si="2"/>
        <v>semanal</v>
      </c>
      <c r="H23">
        <v>15.056800000000001</v>
      </c>
      <c r="I23">
        <v>0</v>
      </c>
      <c r="J23">
        <v>14.5299</v>
      </c>
      <c r="K23">
        <v>1</v>
      </c>
      <c r="L23" t="s">
        <v>24</v>
      </c>
      <c r="M23" t="s">
        <v>25</v>
      </c>
      <c r="N23" t="s">
        <v>30</v>
      </c>
      <c r="O23">
        <f t="shared" ref="O23" si="23">H25-H27</f>
        <v>0.15840000000000032</v>
      </c>
      <c r="R23">
        <v>23</v>
      </c>
      <c r="S23" s="4" cm="1">
        <f t="array" aca="1" ref="S23" ca="1">IF(OR(INDIRECT("H"&amp;(2+(ROWS($Q$2:Q23)-1)*3))=0,INDIRECT("H"&amp;(4+(ROWS($Q$2:Q23)-1)*3))=0),0,INDIRECT("H"&amp;(4+(ROWS($Q$2:Q23)-1)*3))/INDIRECT("H"&amp;(2+(ROWS($Q$2:Q23)-1)*3)))*100</f>
        <v>99.999336491633159</v>
      </c>
      <c r="T23" s="4" cm="1">
        <f t="array" aca="1" ref="T23" ca="1">IF(OR(INDIRECT("I"&amp;(2+(ROWS($Q$2:R23)-1)*3))=0,INDIRECT("I"&amp;(4+(ROWS($Q$2:R23)-1)*3))=0),0,INDIRECT("I"&amp;(4+(ROWS($Q$2:R23)-1)*3))/INDIRECT("I"&amp;(2+(ROWS($Q$2:R23)-1)*3)))*100</f>
        <v>99.997971163470126</v>
      </c>
      <c r="U23" s="4" cm="1">
        <f t="array" aca="1" ref="U23" ca="1">IF(OR(INDIRECT("J"&amp;(2+(ROWS($Q$2:S23)-1)*3))=0,INDIRECT("J"&amp;(4+(ROWS($Q$2:S23)-1)*3))=0),0,INDIRECT("J"&amp;(4+(ROWS($Q$2:S23)-1)*3))/INDIRECT("J"&amp;(2+(ROWS($Q$2:S23)-1)*3)))*100</f>
        <v>99.994739403185292</v>
      </c>
      <c r="V23" s="4" cm="1">
        <f t="array" aca="1" ref="V23" ca="1">IF(OR(INDIRECT("H"&amp;(3+(ROWS($Q$2:T23)-1)*3))=0,INDIRECT("H"&amp;(4+(ROWS($Q$2:T23)-1)*3))=0),0,INDIRECT("H"&amp;(4+(ROWS($Q$2:T23)-1)*3))/INDIRECT("H"&amp;(3+(ROWS($Q$2:T23)-1)*3)))*100</f>
        <v>99.996682546212128</v>
      </c>
      <c r="W23" s="4" cm="1">
        <f t="array" aca="1" ref="W23" ca="1">IF(OR(INDIRECT("I"&amp;(3+(ROWS($Q$2:U23)-1)*3))=0,INDIRECT("I"&amp;(4+(ROWS($Q$2:U23)-1)*3))=0),0,INDIRECT("I"&amp;(4+(ROWS($Q$2:U23)-1)*3))/INDIRECT("I"&amp;(3+(ROWS($Q$2:U23)-1)*3)))*100</f>
        <v>100.00473427207186</v>
      </c>
      <c r="X23" s="4" cm="1">
        <f t="array" aca="1" ref="X23" ca="1">IF(OR(INDIRECT("J"&amp;(3+(ROWS($Q$2:V23)-1)*3))=0,INDIRECT("J"&amp;(4+(ROWS($Q$2:V23)-1)*3))=0),0,INDIRECT("J"&amp;(4+(ROWS($Q$2:V23)-1)*3))/INDIRECT("J"&amp;(3+(ROWS($Q$2:V23)-1)*3)))*100</f>
        <v>99.994739403185292</v>
      </c>
      <c r="Y23" t="str" cm="1">
        <f t="array" aca="1" ref="Y23" ca="1">INDIRECT("G"&amp;(2+(ROWS($Q$2:Q23)-1)*3))</f>
        <v>semanal</v>
      </c>
      <c r="AB23" s="10" cm="1">
        <f t="array" aca="1" ref="AB23" ca="1">IF(OR(INDIRECT("H"&amp;(2+(ROWS($Q$2:Q23)-1)*3))=0,INDIRECT("H"&amp;(4+(ROWS($Q$2:Q23)-1)*3))=0),0,INDIRECT("H"&amp;(4+(ROWS($Q$2:Q23)-1)*3))-INDIRECT("H"&amp;(2+(ROWS($Q$2:Q23)-1)*3)))*-100</f>
        <v>9.9999999999766942E-3</v>
      </c>
      <c r="AC23" s="10" cm="1">
        <f t="array" aca="1" ref="AC23" ca="1">IF(OR(INDIRECT("I"&amp;(2+(ROWS($Q$2:R23)-1)*3))=0,INDIRECT("I"&amp;(4+(ROWS($Q$2:R23)-1)*3))=0),0,INDIRECT("I"&amp;(4+(ROWS($Q$2:R23)-1)*3))-INDIRECT("I"&amp;(2+(ROWS($Q$2:R23)-1)*3)))*-100</f>
        <v>2.9999999999930083E-2</v>
      </c>
      <c r="AD23" s="10" cm="1">
        <f t="array" aca="1" ref="AD23" ca="1">IF(OR(INDIRECT("J"&amp;(2+(ROWS($Q$2:S23)-1)*3))=0,INDIRECT("J"&amp;(4+(ROWS($Q$2:S23)-1)*3))=0),0,INDIRECT("J"&amp;(4+(ROWS($Q$2:S23)-1)*3))-INDIRECT("J"&amp;(2+(ROWS($Q$2:S23)-1)*3)))*-100</f>
        <v>7.9999999999991189E-2</v>
      </c>
      <c r="AE23" t="str" cm="1">
        <f t="array" aca="1" ref="AE23" ca="1">INDIRECT("G"&amp;(2+(ROWS($Q$2:W23)-1)*3))</f>
        <v>semanal</v>
      </c>
    </row>
    <row r="24" spans="1:31" x14ac:dyDescent="0.25">
      <c r="A24">
        <v>10</v>
      </c>
      <c r="B24" s="2">
        <v>45552</v>
      </c>
      <c r="C24" s="2">
        <v>45566</v>
      </c>
      <c r="D24" t="s">
        <v>27</v>
      </c>
      <c r="E24">
        <f t="shared" si="1"/>
        <v>14</v>
      </c>
      <c r="F24" t="s">
        <v>23</v>
      </c>
      <c r="G24" t="str">
        <f t="shared" si="2"/>
        <v>2 semanas</v>
      </c>
      <c r="H24">
        <v>15.057</v>
      </c>
      <c r="I24">
        <v>0</v>
      </c>
      <c r="J24">
        <v>14.53</v>
      </c>
      <c r="K24">
        <v>1</v>
      </c>
      <c r="L24" t="s">
        <v>24</v>
      </c>
      <c r="M24" t="s">
        <v>25</v>
      </c>
      <c r="N24" t="s">
        <v>31</v>
      </c>
      <c r="O24">
        <f t="shared" ref="O24" si="24">H24-H26</f>
        <v>0.15910000000000046</v>
      </c>
      <c r="R24">
        <v>24</v>
      </c>
      <c r="S24" s="4" cm="1">
        <f t="array" aca="1" ref="S24" ca="1">IF(OR(INDIRECT("H"&amp;(2+(ROWS($Q$2:Q24)-1)*3))=0,INDIRECT("H"&amp;(4+(ROWS($Q$2:Q24)-1)*3))=0),0,INDIRECT("H"&amp;(4+(ROWS($Q$2:Q24)-1)*3))/INDIRECT("H"&amp;(2+(ROWS($Q$2:Q24)-1)*3)))*100</f>
        <v>0</v>
      </c>
      <c r="T24" s="4" cm="1">
        <f t="array" aca="1" ref="T24" ca="1">IF(OR(INDIRECT("I"&amp;(2+(ROWS($Q$2:R24)-1)*3))=0,INDIRECT("I"&amp;(4+(ROWS($Q$2:R24)-1)*3))=0),0,INDIRECT("I"&amp;(4+(ROWS($Q$2:R24)-1)*3))/INDIRECT("I"&amp;(2+(ROWS($Q$2:R24)-1)*3)))*100</f>
        <v>99.995335447930273</v>
      </c>
      <c r="U24" s="4" cm="1">
        <f t="array" aca="1" ref="U24" ca="1">IF(OR(INDIRECT("J"&amp;(2+(ROWS($Q$2:S24)-1)*3))=0,INDIRECT("J"&amp;(4+(ROWS($Q$2:S24)-1)*3))=0),0,INDIRECT("J"&amp;(4+(ROWS($Q$2:S24)-1)*3))/INDIRECT("J"&amp;(2+(ROWS($Q$2:S24)-1)*3)))*100</f>
        <v>99.996680762362502</v>
      </c>
      <c r="V24" s="4" cm="1">
        <f t="array" aca="1" ref="V24" ca="1">IF(OR(INDIRECT("H"&amp;(3+(ROWS($Q$2:T24)-1)*3))=0,INDIRECT("H"&amp;(4+(ROWS($Q$2:T24)-1)*3))=0),0,INDIRECT("H"&amp;(4+(ROWS($Q$2:T24)-1)*3))/INDIRECT("H"&amp;(3+(ROWS($Q$2:T24)-1)*3)))*100</f>
        <v>0</v>
      </c>
      <c r="W24" s="4" cm="1">
        <f t="array" aca="1" ref="W24" ca="1">IF(OR(INDIRECT("I"&amp;(3+(ROWS($Q$2:U24)-1)*3))=0,INDIRECT("I"&amp;(4+(ROWS($Q$2:U24)-1)*3))=0),0,INDIRECT("I"&amp;(4+(ROWS($Q$2:U24)-1)*3))/INDIRECT("I"&amp;(3+(ROWS($Q$2:U24)-1)*3)))*100</f>
        <v>99.997334488388361</v>
      </c>
      <c r="X24" s="4" cm="1">
        <f t="array" aca="1" ref="X24" ca="1">IF(OR(INDIRECT("J"&amp;(3+(ROWS($Q$2:V24)-1)*3))=0,INDIRECT("J"&amp;(4+(ROWS($Q$2:V24)-1)*3))=0),0,INDIRECT("J"&amp;(4+(ROWS($Q$2:V24)-1)*3))/INDIRECT("J"&amp;(3+(ROWS($Q$2:V24)-1)*3)))*100</f>
        <v>99.997344592262152</v>
      </c>
      <c r="Y24" t="str" cm="1">
        <f t="array" aca="1" ref="Y24" ca="1">INDIRECT("G"&amp;(2+(ROWS($Q$2:Q24)-1)*3))</f>
        <v>semanal</v>
      </c>
      <c r="AB24" s="10" cm="1">
        <f t="array" aca="1" ref="AB24" ca="1">IF(OR(INDIRECT("H"&amp;(2+(ROWS($Q$2:Q24)-1)*3))=0,INDIRECT("H"&amp;(4+(ROWS($Q$2:Q24)-1)*3))=0),0,INDIRECT("H"&amp;(4+(ROWS($Q$2:Q24)-1)*3))-INDIRECT("H"&amp;(2+(ROWS($Q$2:Q24)-1)*3)))*-100</f>
        <v>0</v>
      </c>
      <c r="AC24" s="10" cm="1">
        <f t="array" aca="1" ref="AC24" ca="1">IF(OR(INDIRECT("I"&amp;(2+(ROWS($Q$2:R24)-1)*3))=0,INDIRECT("I"&amp;(4+(ROWS($Q$2:R24)-1)*3))=0),0,INDIRECT("I"&amp;(4+(ROWS($Q$2:R24)-1)*3))-INDIRECT("I"&amp;(2+(ROWS($Q$2:R24)-1)*3)))*-100</f>
        <v>7.0000000000014495E-2</v>
      </c>
      <c r="AD24" s="10" cm="1">
        <f t="array" aca="1" ref="AD24" ca="1">IF(OR(INDIRECT("J"&amp;(2+(ROWS($Q$2:S24)-1)*3))=0,INDIRECT("J"&amp;(4+(ROWS($Q$2:S24)-1)*3))=0),0,INDIRECT("J"&amp;(4+(ROWS($Q$2:S24)-1)*3))-INDIRECT("J"&amp;(2+(ROWS($Q$2:S24)-1)*3)))*-100</f>
        <v>5.0000000000061107E-2</v>
      </c>
      <c r="AE24" t="str" cm="1">
        <f t="array" aca="1" ref="AE24" ca="1">INDIRECT("G"&amp;(2+(ROWS($Q$2:W24)-1)*3))</f>
        <v>semanal</v>
      </c>
    </row>
    <row r="25" spans="1:31" x14ac:dyDescent="0.25">
      <c r="A25">
        <v>10</v>
      </c>
      <c r="B25" s="2">
        <v>45552</v>
      </c>
      <c r="C25" s="2">
        <v>45566</v>
      </c>
      <c r="D25" t="s">
        <v>27</v>
      </c>
      <c r="E25">
        <f t="shared" si="1"/>
        <v>14</v>
      </c>
      <c r="F25" t="s">
        <v>23</v>
      </c>
      <c r="G25" t="str">
        <f t="shared" si="2"/>
        <v>2 semanas</v>
      </c>
      <c r="H25">
        <v>15.0565</v>
      </c>
      <c r="I25">
        <v>0</v>
      </c>
      <c r="J25">
        <v>14.5298</v>
      </c>
      <c r="K25">
        <v>1</v>
      </c>
      <c r="L25" t="s">
        <v>29</v>
      </c>
      <c r="M25" t="s">
        <v>25</v>
      </c>
      <c r="N25" t="s">
        <v>31</v>
      </c>
      <c r="O25">
        <f t="shared" ref="O25" si="25">H27-H29</f>
        <v>-0.1587000000000014</v>
      </c>
      <c r="R25">
        <v>25</v>
      </c>
      <c r="S25" s="4" cm="1">
        <f t="array" aca="1" ref="S25" ca="1">IF(OR(INDIRECT("H"&amp;(2+(ROWS($Q$2:Q25)-1)*3))=0,INDIRECT("H"&amp;(4+(ROWS($Q$2:Q25)-1)*3))=0),0,INDIRECT("H"&amp;(4+(ROWS($Q$2:Q25)-1)*3))/INDIRECT("H"&amp;(2+(ROWS($Q$2:Q25)-1)*3)))*100</f>
        <v>99.971749465996012</v>
      </c>
      <c r="T25" s="4" cm="1">
        <f t="array" aca="1" ref="T25" ca="1">IF(OR(INDIRECT("I"&amp;(2+(ROWS($Q$2:R25)-1)*3))=0,INDIRECT("I"&amp;(4+(ROWS($Q$2:R25)-1)*3))=0),0,INDIRECT("I"&amp;(4+(ROWS($Q$2:R25)-1)*3))/INDIRECT("I"&amp;(2+(ROWS($Q$2:R25)-1)*3)))*100</f>
        <v>99.9520830195912</v>
      </c>
      <c r="U25" s="4" cm="1">
        <f t="array" aca="1" ref="U25" ca="1">IF(OR(INDIRECT("J"&amp;(2+(ROWS($Q$2:S25)-1)*3))=0,INDIRECT("J"&amp;(4+(ROWS($Q$2:S25)-1)*3))=0),0,INDIRECT("J"&amp;(4+(ROWS($Q$2:S25)-1)*3))/INDIRECT("J"&amp;(2+(ROWS($Q$2:S25)-1)*3)))*100</f>
        <v>99.969355276812394</v>
      </c>
      <c r="V25" s="4" cm="1">
        <f t="array" aca="1" ref="V25" ca="1">IF(OR(INDIRECT("H"&amp;(3+(ROWS($Q$2:T25)-1)*3))=0,INDIRECT("H"&amp;(4+(ROWS($Q$2:T25)-1)*3))=0),0,INDIRECT("H"&amp;(4+(ROWS($Q$2:T25)-1)*3))/INDIRECT("H"&amp;(3+(ROWS($Q$2:T25)-1)*3)))*100</f>
        <v>99.978638368246962</v>
      </c>
      <c r="W25" s="4" cm="1">
        <f t="array" aca="1" ref="W25" ca="1">IF(OR(INDIRECT("I"&amp;(3+(ROWS($Q$2:U25)-1)*3))=0,INDIRECT("I"&amp;(4+(ROWS($Q$2:U25)-1)*3))=0),0,INDIRECT("I"&amp;(4+(ROWS($Q$2:U25)-1)*3))/INDIRECT("I"&amp;(3+(ROWS($Q$2:U25)-1)*3)))*100</f>
        <v>99.96713769306605</v>
      </c>
      <c r="X25" s="4" cm="1">
        <f t="array" aca="1" ref="X25" ca="1">IF(OR(INDIRECT("J"&amp;(3+(ROWS($Q$2:V25)-1)*3))=0,INDIRECT("J"&amp;(4+(ROWS($Q$2:V25)-1)*3))=0),0,INDIRECT("J"&amp;(4+(ROWS($Q$2:V25)-1)*3))/INDIRECT("J"&amp;(3+(ROWS($Q$2:V25)-1)*3)))*100</f>
        <v>99.972836685797077</v>
      </c>
      <c r="Y25" t="str" cm="1">
        <f t="array" aca="1" ref="Y25" ca="1">INDIRECT("G"&amp;(2+(ROWS($Q$2:Q25)-1)*3))</f>
        <v>Semestral</v>
      </c>
      <c r="AB25" s="10" cm="1">
        <f t="array" aca="1" ref="AB25" ca="1">IF(OR(INDIRECT("H"&amp;(2+(ROWS($Q$2:Q25)-1)*3))=0,INDIRECT("H"&amp;(4+(ROWS($Q$2:Q25)-1)*3))=0),0,INDIRECT("H"&amp;(4+(ROWS($Q$2:Q25)-1)*3))-INDIRECT("H"&amp;(2+(ROWS($Q$2:Q25)-1)*3)))*-100</f>
        <v>0.40999999999993264</v>
      </c>
      <c r="AC25" s="10" cm="1">
        <f t="array" aca="1" ref="AC25" ca="1">IF(OR(INDIRECT("I"&amp;(2+(ROWS($Q$2:R25)-1)*3))=0,INDIRECT("I"&amp;(4+(ROWS($Q$2:R25)-1)*3))=0),0,INDIRECT("I"&amp;(4+(ROWS($Q$2:R25)-1)*3))-INDIRECT("I"&amp;(2+(ROWS($Q$2:R25)-1)*3)))*-100</f>
        <v>0.69999999999996732</v>
      </c>
      <c r="AD25" s="10" cm="1">
        <f t="array" aca="1" ref="AD25" ca="1">IF(OR(INDIRECT("J"&amp;(2+(ROWS($Q$2:S25)-1)*3))=0,INDIRECT("J"&amp;(4+(ROWS($Q$2:S25)-1)*3))=0),0,INDIRECT("J"&amp;(4+(ROWS($Q$2:S25)-1)*3))-INDIRECT("J"&amp;(2+(ROWS($Q$2:S25)-1)*3)))*-100</f>
        <v>0.44000000000004036</v>
      </c>
      <c r="AE25" t="str" cm="1">
        <f t="array" aca="1" ref="AE25" ca="1">INDIRECT("G"&amp;(2+(ROWS($Q$2:W25)-1)*3))</f>
        <v>Semestral</v>
      </c>
    </row>
    <row r="26" spans="1:31" x14ac:dyDescent="0.25">
      <c r="A26">
        <v>10</v>
      </c>
      <c r="B26" s="2">
        <v>45559</v>
      </c>
      <c r="C26" s="2">
        <v>45566</v>
      </c>
      <c r="D26" t="s">
        <v>22</v>
      </c>
      <c r="E26">
        <f t="shared" si="1"/>
        <v>7</v>
      </c>
      <c r="F26" t="s">
        <v>23</v>
      </c>
      <c r="G26" t="str">
        <f t="shared" si="2"/>
        <v>semanal</v>
      </c>
      <c r="H26">
        <v>14.8979</v>
      </c>
      <c r="I26">
        <v>14.638999999999999</v>
      </c>
      <c r="J26">
        <v>14.920999999999999</v>
      </c>
      <c r="K26">
        <v>1</v>
      </c>
      <c r="L26" t="s">
        <v>24</v>
      </c>
      <c r="M26" t="s">
        <v>25</v>
      </c>
      <c r="N26" t="s">
        <v>31</v>
      </c>
      <c r="O26">
        <f t="shared" ref="O26" si="26">H26-H28</f>
        <v>1.9999999999953388E-4</v>
      </c>
      <c r="R26">
        <v>26</v>
      </c>
      <c r="S26" s="4" cm="1">
        <f t="array" aca="1" ref="S26" ca="1">IF(OR(INDIRECT("H"&amp;(2+(ROWS($Q$2:Q26)-1)*3))=0,INDIRECT("H"&amp;(4+(ROWS($Q$2:Q26)-1)*3))=0),0,INDIRECT("H"&amp;(4+(ROWS($Q$2:Q26)-1)*3))/INDIRECT("H"&amp;(2+(ROWS($Q$2:Q26)-1)*3)))*100</f>
        <v>99.977445504358315</v>
      </c>
      <c r="T26" s="4" cm="1">
        <f t="array" aca="1" ref="T26" ca="1">IF(OR(INDIRECT("I"&amp;(2+(ROWS($Q$2:R26)-1)*3))=0,INDIRECT("I"&amp;(4+(ROWS($Q$2:R26)-1)*3))=0),0,INDIRECT("I"&amp;(4+(ROWS($Q$2:R26)-1)*3))/INDIRECT("I"&amp;(2+(ROWS($Q$2:R26)-1)*3)))*100</f>
        <v>99.972279691155194</v>
      </c>
      <c r="U26" s="4" cm="1">
        <f t="array" aca="1" ref="U26" ca="1">IF(OR(INDIRECT("J"&amp;(2+(ROWS($Q$2:S26)-1)*3))=0,INDIRECT("J"&amp;(4+(ROWS($Q$2:S26)-1)*3))=0),0,INDIRECT("J"&amp;(4+(ROWS($Q$2:S26)-1)*3))/INDIRECT("J"&amp;(2+(ROWS($Q$2:S26)-1)*3)))*100</f>
        <v>99.980931339672026</v>
      </c>
      <c r="V26" s="4" cm="1">
        <f t="array" aca="1" ref="V26" ca="1">IF(OR(INDIRECT("H"&amp;(3+(ROWS($Q$2:T26)-1)*3))=0,INDIRECT("H"&amp;(4+(ROWS($Q$2:T26)-1)*3))=0),0,INDIRECT("H"&amp;(4+(ROWS($Q$2:T26)-1)*3))/INDIRECT("H"&amp;(3+(ROWS($Q$2:T26)-1)*3)))*100</f>
        <v>99.97877195775618</v>
      </c>
      <c r="W26" s="4" cm="1">
        <f t="array" aca="1" ref="W26" ca="1">IF(OR(INDIRECT("I"&amp;(3+(ROWS($Q$2:U26)-1)*3))=0,INDIRECT("I"&amp;(4+(ROWS($Q$2:U26)-1)*3))=0),0,INDIRECT("I"&amp;(4+(ROWS($Q$2:U26)-1)*3))/INDIRECT("I"&amp;(3+(ROWS($Q$2:U26)-1)*3)))*100</f>
        <v>99.975659393783673</v>
      </c>
      <c r="X26" s="4" cm="1">
        <f t="array" aca="1" ref="X26" ca="1">IF(OR(INDIRECT("J"&amp;(3+(ROWS($Q$2:V26)-1)*3))=0,INDIRECT("J"&amp;(4+(ROWS($Q$2:V26)-1)*3))=0),0,INDIRECT("J"&amp;(4+(ROWS($Q$2:V26)-1)*3))/INDIRECT("J"&amp;(3+(ROWS($Q$2:V26)-1)*3)))*100</f>
        <v>99.982903622459375</v>
      </c>
      <c r="Y26" t="str" cm="1">
        <f t="array" aca="1" ref="Y26" ca="1">INDIRECT("G"&amp;(2+(ROWS($Q$2:Q26)-1)*3))</f>
        <v>Mensual</v>
      </c>
      <c r="AB26" s="10" cm="1">
        <f t="array" aca="1" ref="AB26" ca="1">IF(OR(INDIRECT("H"&amp;(2+(ROWS($Q$2:Q26)-1)*3))=0,INDIRECT("H"&amp;(4+(ROWS($Q$2:Q26)-1)*3))=0),0,INDIRECT("H"&amp;(4+(ROWS($Q$2:Q26)-1)*3))-INDIRECT("H"&amp;(2+(ROWS($Q$2:Q26)-1)*3)))*-100</f>
        <v>0.34000000000009578</v>
      </c>
      <c r="AC26" s="10" cm="1">
        <f t="array" aca="1" ref="AC26" ca="1">IF(OR(INDIRECT("I"&amp;(2+(ROWS($Q$2:R26)-1)*3))=0,INDIRECT("I"&amp;(4+(ROWS($Q$2:R26)-1)*3))=0),0,INDIRECT("I"&amp;(4+(ROWS($Q$2:R26)-1)*3))-INDIRECT("I"&amp;(2+(ROWS($Q$2:R26)-1)*3)))*-100</f>
        <v>0.40999999999993264</v>
      </c>
      <c r="AD26" s="10" cm="1">
        <f t="array" aca="1" ref="AD26" ca="1">IF(OR(INDIRECT("J"&amp;(2+(ROWS($Q$2:S26)-1)*3))=0,INDIRECT("J"&amp;(4+(ROWS($Q$2:S26)-1)*3))=0),0,INDIRECT("J"&amp;(4+(ROWS($Q$2:S26)-1)*3))-INDIRECT("J"&amp;(2+(ROWS($Q$2:S26)-1)*3)))*-100</f>
        <v>0.29000000000003467</v>
      </c>
      <c r="AE26" t="str" cm="1">
        <f t="array" aca="1" ref="AE26" ca="1">INDIRECT("G"&amp;(2+(ROWS($Q$2:W26)-1)*3))</f>
        <v>Mensual</v>
      </c>
    </row>
    <row r="27" spans="1:31" x14ac:dyDescent="0.25">
      <c r="A27">
        <v>11</v>
      </c>
      <c r="B27" s="2">
        <v>45559</v>
      </c>
      <c r="C27" s="2">
        <v>45573</v>
      </c>
      <c r="D27" t="s">
        <v>27</v>
      </c>
      <c r="E27">
        <f t="shared" si="1"/>
        <v>14</v>
      </c>
      <c r="F27" t="s">
        <v>23</v>
      </c>
      <c r="G27" t="str">
        <f t="shared" si="2"/>
        <v>2 semanas</v>
      </c>
      <c r="H27">
        <v>14.898099999999999</v>
      </c>
      <c r="I27">
        <v>14.639200000000001</v>
      </c>
      <c r="J27">
        <v>14.921200000000001</v>
      </c>
      <c r="K27">
        <v>1</v>
      </c>
      <c r="L27" t="s">
        <v>24</v>
      </c>
      <c r="M27" t="s">
        <v>25</v>
      </c>
      <c r="N27" t="s">
        <v>31</v>
      </c>
      <c r="O27">
        <f t="shared" ref="O27" si="27">H29-H31</f>
        <v>7.0000000000014495E-4</v>
      </c>
      <c r="R27">
        <v>27</v>
      </c>
      <c r="S27" s="4" cm="1">
        <f t="array" aca="1" ref="S27" ca="1">IF(OR(INDIRECT("H"&amp;(2+(ROWS($Q$2:Q27)-1)*3))=0,INDIRECT("H"&amp;(4+(ROWS($Q$2:Q27)-1)*3))=0),0,INDIRECT("H"&amp;(4+(ROWS($Q$2:Q27)-1)*3))/INDIRECT("H"&amp;(2+(ROWS($Q$2:Q27)-1)*3)))*100</f>
        <v>99.964810240883864</v>
      </c>
      <c r="T27" s="4" cm="1">
        <f t="array" aca="1" ref="T27" ca="1">IF(OR(INDIRECT("I"&amp;(2+(ROWS($Q$2:R27)-1)*3))=0,INDIRECT("I"&amp;(4+(ROWS($Q$2:R27)-1)*3))=0),0,INDIRECT("I"&amp;(4+(ROWS($Q$2:R27)-1)*3))/INDIRECT("I"&amp;(2+(ROWS($Q$2:R27)-1)*3)))*100</f>
        <v>0</v>
      </c>
      <c r="U27" s="4" cm="1">
        <f t="array" aca="1" ref="U27" ca="1">IF(OR(INDIRECT("J"&amp;(2+(ROWS($Q$2:S27)-1)*3))=0,INDIRECT("J"&amp;(4+(ROWS($Q$2:S27)-1)*3))=0),0,INDIRECT("J"&amp;(4+(ROWS($Q$2:S27)-1)*3))/INDIRECT("J"&amp;(2+(ROWS($Q$2:S27)-1)*3)))*100</f>
        <v>99.970413997619374</v>
      </c>
      <c r="V27" s="4" cm="1">
        <f t="array" aca="1" ref="V27" ca="1">IF(OR(INDIRECT("H"&amp;(3+(ROWS($Q$2:T27)-1)*3))=0,INDIRECT("H"&amp;(4+(ROWS($Q$2:T27)-1)*3))=0),0,INDIRECT("H"&amp;(4+(ROWS($Q$2:T27)-1)*3))/INDIRECT("H"&amp;(3+(ROWS($Q$2:T27)-1)*3)))*100</f>
        <v>99.96746520769149</v>
      </c>
      <c r="W27" s="4" cm="1">
        <f t="array" aca="1" ref="W27" ca="1">IF(OR(INDIRECT("I"&amp;(3+(ROWS($Q$2:U27)-1)*3))=0,INDIRECT("I"&amp;(4+(ROWS($Q$2:U27)-1)*3))=0),0,INDIRECT("I"&amp;(4+(ROWS($Q$2:U27)-1)*3))/INDIRECT("I"&amp;(3+(ROWS($Q$2:U27)-1)*3)))*100</f>
        <v>0</v>
      </c>
      <c r="X27" s="4" cm="1">
        <f t="array" aca="1" ref="X27" ca="1">IF(OR(INDIRECT("J"&amp;(3+(ROWS($Q$2:V27)-1)*3))=0,INDIRECT("J"&amp;(4+(ROWS($Q$2:V27)-1)*3))=0),0,INDIRECT("J"&amp;(4+(ROWS($Q$2:V27)-1)*3))/INDIRECT("J"&amp;(3+(ROWS($Q$2:V27)-1)*3)))*100</f>
        <v>99.97178970255338</v>
      </c>
      <c r="Y27" t="str" cm="1">
        <f t="array" aca="1" ref="Y27" ca="1">INDIRECT("G"&amp;(2+(ROWS($Q$2:Q27)-1)*3))</f>
        <v>Trimestral</v>
      </c>
      <c r="AB27" s="10" cm="1">
        <f t="array" aca="1" ref="AB27" ca="1">IF(OR(INDIRECT("H"&amp;(2+(ROWS($Q$2:Q27)-1)*3))=0,INDIRECT("H"&amp;(4+(ROWS($Q$2:Q27)-1)*3))=0),0,INDIRECT("H"&amp;(4+(ROWS($Q$2:Q27)-1)*3))-INDIRECT("H"&amp;(2+(ROWS($Q$2:Q27)-1)*3)))*-100</f>
        <v>0.53000000000000824</v>
      </c>
      <c r="AC27" s="10" cm="1">
        <f t="array" aca="1" ref="AC27" ca="1">IF(OR(INDIRECT("I"&amp;(2+(ROWS($Q$2:R27)-1)*3))=0,INDIRECT("I"&amp;(4+(ROWS($Q$2:R27)-1)*3))=0),0,INDIRECT("I"&amp;(4+(ROWS($Q$2:R27)-1)*3))-INDIRECT("I"&amp;(2+(ROWS($Q$2:R27)-1)*3)))*-100</f>
        <v>0</v>
      </c>
      <c r="AD27" s="10" cm="1">
        <f t="array" aca="1" ref="AD27" ca="1">IF(OR(INDIRECT("J"&amp;(2+(ROWS($Q$2:S27)-1)*3))=0,INDIRECT("J"&amp;(4+(ROWS($Q$2:S27)-1)*3))=0),0,INDIRECT("J"&amp;(4+(ROWS($Q$2:S27)-1)*3))-INDIRECT("J"&amp;(2+(ROWS($Q$2:S27)-1)*3)))*-100</f>
        <v>0.42999999999988603</v>
      </c>
      <c r="AE27" t="str" cm="1">
        <f t="array" aca="1" ref="AE27" ca="1">INDIRECT("G"&amp;(2+(ROWS($Q$2:W27)-1)*3))</f>
        <v>Trimestral</v>
      </c>
    </row>
    <row r="28" spans="1:31" x14ac:dyDescent="0.25">
      <c r="A28">
        <v>11</v>
      </c>
      <c r="B28" s="2">
        <v>45559</v>
      </c>
      <c r="C28" s="2">
        <v>45573</v>
      </c>
      <c r="D28" t="s">
        <v>27</v>
      </c>
      <c r="E28">
        <f t="shared" si="1"/>
        <v>14</v>
      </c>
      <c r="F28" t="s">
        <v>23</v>
      </c>
      <c r="G28" t="str">
        <f t="shared" si="2"/>
        <v>2 semanas</v>
      </c>
      <c r="H28">
        <v>14.8977</v>
      </c>
      <c r="I28">
        <v>14.639200000000001</v>
      </c>
      <c r="J28">
        <v>14.9206</v>
      </c>
      <c r="K28">
        <v>1</v>
      </c>
      <c r="L28" t="s">
        <v>29</v>
      </c>
      <c r="M28" t="s">
        <v>25</v>
      </c>
      <c r="N28" t="s">
        <v>31</v>
      </c>
      <c r="O28">
        <f t="shared" ref="O28" si="28">H28-H30</f>
        <v>-0.15889999999999915</v>
      </c>
      <c r="R28">
        <v>28</v>
      </c>
      <c r="S28" s="4" cm="1">
        <f t="array" aca="1" ref="S28" ca="1">IF(OR(INDIRECT("H"&amp;(2+(ROWS($Q$2:Q28)-1)*3))=0,INDIRECT("H"&amp;(4+(ROWS($Q$2:Q28)-1)*3))=0),0,INDIRECT("H"&amp;(4+(ROWS($Q$2:Q28)-1)*3))/INDIRECT("H"&amp;(2+(ROWS($Q$2:Q28)-1)*3)))*100</f>
        <v>99.940959013478789</v>
      </c>
      <c r="T28" s="4" cm="1">
        <f t="array" aca="1" ref="T28" ca="1">IF(OR(INDIRECT("I"&amp;(2+(ROWS($Q$2:R28)-1)*3))=0,INDIRECT("I"&amp;(4+(ROWS($Q$2:R28)-1)*3))=0),0,INDIRECT("I"&amp;(4+(ROWS($Q$2:R28)-1)*3))/INDIRECT("I"&amp;(2+(ROWS($Q$2:R28)-1)*3)))*100</f>
        <v>99.93992107814357</v>
      </c>
      <c r="U28" s="4" cm="1">
        <f t="array" aca="1" ref="U28" ca="1">IF(OR(INDIRECT("J"&amp;(2+(ROWS($Q$2:S28)-1)*3))=0,INDIRECT("J"&amp;(4+(ROWS($Q$2:S28)-1)*3))=0),0,INDIRECT("J"&amp;(4+(ROWS($Q$2:S28)-1)*3))/INDIRECT("J"&amp;(2+(ROWS($Q$2:S28)-1)*3)))*100</f>
        <v>99.961810324612244</v>
      </c>
      <c r="V28" s="4" cm="1">
        <f t="array" aca="1" ref="V28" ca="1">IF(OR(INDIRECT("H"&amp;(3+(ROWS($Q$2:T28)-1)*3))=0,INDIRECT("H"&amp;(4+(ROWS($Q$2:T28)-1)*3))=0),0,INDIRECT("H"&amp;(4+(ROWS($Q$2:T28)-1)*3))/INDIRECT("H"&amp;(3+(ROWS($Q$2:T28)-1)*3)))*100</f>
        <v>99.951017888535503</v>
      </c>
      <c r="W28" s="4" cm="1">
        <f t="array" aca="1" ref="W28" ca="1">IF(OR(INDIRECT("I"&amp;(3+(ROWS($Q$2:U28)-1)*3))=0,INDIRECT("I"&amp;(4+(ROWS($Q$2:U28)-1)*3))=0),0,INDIRECT("I"&amp;(4+(ROWS($Q$2:U28)-1)*3))/INDIRECT("I"&amp;(3+(ROWS($Q$2:U28)-1)*3)))*100</f>
        <v>99.948791828541388</v>
      </c>
      <c r="X28" s="4" cm="1">
        <f t="array" aca="1" ref="X28" ca="1">IF(OR(INDIRECT("J"&amp;(3+(ROWS($Q$2:V28)-1)*3))=0,INDIRECT("J"&amp;(4+(ROWS($Q$2:V28)-1)*3))=0),0,INDIRECT("J"&amp;(4+(ROWS($Q$2:V28)-1)*3))/INDIRECT("J"&amp;(3+(ROWS($Q$2:V28)-1)*3)))*100</f>
        <v>99.968508157727229</v>
      </c>
      <c r="Y28" t="str" cm="1">
        <f t="array" aca="1" ref="Y28" ca="1">INDIRECT("G"&amp;(2+(ROWS($Q$2:Q28)-1)*3))</f>
        <v>Cuatrimestral</v>
      </c>
      <c r="AB28" s="10" cm="1">
        <f t="array" aca="1" ref="AB28" ca="1">IF(OR(INDIRECT("H"&amp;(2+(ROWS($Q$2:Q28)-1)*3))=0,INDIRECT("H"&amp;(4+(ROWS($Q$2:Q28)-1)*3))=0),0,INDIRECT("H"&amp;(4+(ROWS($Q$2:Q28)-1)*3))-INDIRECT("H"&amp;(2+(ROWS($Q$2:Q28)-1)*3)))*-100</f>
        <v>0.87999999999990308</v>
      </c>
      <c r="AC28" s="10" cm="1">
        <f t="array" aca="1" ref="AC28" ca="1">IF(OR(INDIRECT("I"&amp;(2+(ROWS($Q$2:R28)-1)*3))=0,INDIRECT("I"&amp;(4+(ROWS($Q$2:R28)-1)*3))=0),0,INDIRECT("I"&amp;(4+(ROWS($Q$2:R28)-1)*3))-INDIRECT("I"&amp;(2+(ROWS($Q$2:R28)-1)*3)))*-100</f>
        <v>0.87999999999990308</v>
      </c>
      <c r="AD28" s="10" cm="1">
        <f t="array" aca="1" ref="AD28" ca="1">IF(OR(INDIRECT("J"&amp;(2+(ROWS($Q$2:S28)-1)*3))=0,INDIRECT("J"&amp;(4+(ROWS($Q$2:S28)-1)*3))=0),0,INDIRECT("J"&amp;(4+(ROWS($Q$2:S28)-1)*3))-INDIRECT("J"&amp;(2+(ROWS($Q$2:S28)-1)*3)))*-100</f>
        <v>0.56999999999991502</v>
      </c>
      <c r="AE28" t="str" cm="1">
        <f t="array" aca="1" ref="AE28" ca="1">INDIRECT("G"&amp;(2+(ROWS($Q$2:W28)-1)*3))</f>
        <v>Cuatrimestral</v>
      </c>
    </row>
    <row r="29" spans="1:31" x14ac:dyDescent="0.25">
      <c r="A29">
        <v>11</v>
      </c>
      <c r="B29" s="2">
        <v>45566</v>
      </c>
      <c r="C29" s="2">
        <v>45573</v>
      </c>
      <c r="D29" t="s">
        <v>22</v>
      </c>
      <c r="E29">
        <f t="shared" si="1"/>
        <v>7</v>
      </c>
      <c r="F29" t="s">
        <v>23</v>
      </c>
      <c r="G29" t="str">
        <f t="shared" si="2"/>
        <v>semanal</v>
      </c>
      <c r="H29">
        <v>15.056800000000001</v>
      </c>
      <c r="I29">
        <v>0</v>
      </c>
      <c r="J29">
        <v>14.530200000000001</v>
      </c>
      <c r="K29">
        <v>1</v>
      </c>
      <c r="L29" t="s">
        <v>24</v>
      </c>
      <c r="M29" t="s">
        <v>25</v>
      </c>
      <c r="N29" t="s">
        <v>31</v>
      </c>
      <c r="O29">
        <f t="shared" ref="O29" si="29">H31-H33</f>
        <v>0.15990000000000038</v>
      </c>
      <c r="R29">
        <v>29</v>
      </c>
      <c r="S29" s="4" cm="1">
        <f t="array" aca="1" ref="S29" ca="1">IF(OR(INDIRECT("H"&amp;(2+(ROWS($Q$2:Q29)-1)*3))=0,INDIRECT("H"&amp;(4+(ROWS($Q$2:Q29)-1)*3))=0),0,INDIRECT("H"&amp;(4+(ROWS($Q$2:Q29)-1)*3))/INDIRECT("H"&amp;(2+(ROWS($Q$2:Q29)-1)*3)))*100</f>
        <v>99.959252173792933</v>
      </c>
      <c r="T29" s="4" cm="1">
        <f t="array" aca="1" ref="T29" ca="1">IF(OR(INDIRECT("I"&amp;(2+(ROWS($Q$2:R29)-1)*3))=0,INDIRECT("I"&amp;(4+(ROWS($Q$2:R29)-1)*3))=0),0,INDIRECT("I"&amp;(4+(ROWS($Q$2:R29)-1)*3))/INDIRECT("I"&amp;(2+(ROWS($Q$2:R29)-1)*3)))*100</f>
        <v>99.948162809171819</v>
      </c>
      <c r="U29" s="4" cm="1">
        <f t="array" aca="1" ref="U29" ca="1">IF(OR(INDIRECT("J"&amp;(2+(ROWS($Q$2:S29)-1)*3))=0,INDIRECT("J"&amp;(4+(ROWS($Q$2:S29)-1)*3))=0),0,INDIRECT("J"&amp;(4+(ROWS($Q$2:S29)-1)*3))/INDIRECT("J"&amp;(2+(ROWS($Q$2:S29)-1)*3)))*100</f>
        <v>99.936181322400358</v>
      </c>
      <c r="V29" s="4" cm="1">
        <f t="array" aca="1" ref="V29" ca="1">IF(OR(INDIRECT("H"&amp;(3+(ROWS($Q$2:T29)-1)*3))=0,INDIRECT("H"&amp;(4+(ROWS($Q$2:T29)-1)*3))=0),0,INDIRECT("H"&amp;(4+(ROWS($Q$2:T29)-1)*3))/INDIRECT("H"&amp;(3+(ROWS($Q$2:T29)-1)*3)))*100</f>
        <v>99.96132329580773</v>
      </c>
      <c r="W29" s="4" cm="1">
        <f t="array" aca="1" ref="W29" ca="1">IF(OR(INDIRECT("I"&amp;(3+(ROWS($Q$2:U29)-1)*3))=0,INDIRECT("I"&amp;(4+(ROWS($Q$2:U29)-1)*3))=0),0,INDIRECT("I"&amp;(4+(ROWS($Q$2:U29)-1)*3))/INDIRECT("I"&amp;(3+(ROWS($Q$2:U29)-1)*3)))*100</f>
        <v>99.951527228905931</v>
      </c>
      <c r="X29" s="4" cm="1">
        <f t="array" aca="1" ref="X29" ca="1">IF(OR(INDIRECT("J"&amp;(3+(ROWS($Q$2:V29)-1)*3))=0,INDIRECT("J"&amp;(4+(ROWS($Q$2:V29)-1)*3))=0),0,INDIRECT("J"&amp;(4+(ROWS($Q$2:V29)-1)*3))/INDIRECT("J"&amp;(3+(ROWS($Q$2:V29)-1)*3)))*100</f>
        <v>99.944556906533265</v>
      </c>
      <c r="Y29" t="str" cm="1">
        <f t="array" aca="1" ref="Y29" ca="1">INDIRECT("G"&amp;(2+(ROWS($Q$2:Q29)-1)*3))</f>
        <v>Semestral</v>
      </c>
      <c r="AB29" s="10" cm="1">
        <f t="array" aca="1" ref="AB29" ca="1">IF(OR(INDIRECT("H"&amp;(2+(ROWS($Q$2:Q29)-1)*3))=0,INDIRECT("H"&amp;(4+(ROWS($Q$2:Q29)-1)*3))=0),0,INDIRECT("H"&amp;(4+(ROWS($Q$2:Q29)-1)*3))-INDIRECT("H"&amp;(2+(ROWS($Q$2:Q29)-1)*3)))*-100</f>
        <v>0.59000000000004604</v>
      </c>
      <c r="AC29" s="10" cm="1">
        <f t="array" aca="1" ref="AC29" ca="1">IF(OR(INDIRECT("I"&amp;(2+(ROWS($Q$2:R29)-1)*3))=0,INDIRECT("I"&amp;(4+(ROWS($Q$2:R29)-1)*3))=0),0,INDIRECT("I"&amp;(4+(ROWS($Q$2:R29)-1)*3))-INDIRECT("I"&amp;(2+(ROWS($Q$2:R29)-1)*3)))*-100</f>
        <v>0.76999999999998181</v>
      </c>
      <c r="AD29" s="10" cm="1">
        <f t="array" aca="1" ref="AD29" ca="1">IF(OR(INDIRECT("J"&amp;(2+(ROWS($Q$2:S29)-1)*3))=0,INDIRECT("J"&amp;(4+(ROWS($Q$2:S29)-1)*3))=0),0,INDIRECT("J"&amp;(4+(ROWS($Q$2:S29)-1)*3))-INDIRECT("J"&amp;(2+(ROWS($Q$2:S29)-1)*3)))*-100</f>
        <v>0.99000000000000199</v>
      </c>
      <c r="AE29" t="str" cm="1">
        <f t="array" aca="1" ref="AE29" ca="1">INDIRECT("G"&amp;(2+(ROWS($Q$2:W29)-1)*3))</f>
        <v>Semestral</v>
      </c>
    </row>
    <row r="30" spans="1:31" x14ac:dyDescent="0.25">
      <c r="A30">
        <v>12</v>
      </c>
      <c r="B30" s="2">
        <v>45566</v>
      </c>
      <c r="C30" s="2">
        <v>45580</v>
      </c>
      <c r="D30" t="s">
        <v>27</v>
      </c>
      <c r="E30">
        <f t="shared" si="1"/>
        <v>14</v>
      </c>
      <c r="F30" t="s">
        <v>23</v>
      </c>
      <c r="G30" t="str">
        <f t="shared" si="2"/>
        <v>2 semanas</v>
      </c>
      <c r="H30">
        <v>15.0566</v>
      </c>
      <c r="I30">
        <v>0</v>
      </c>
      <c r="J30">
        <v>14.5303</v>
      </c>
      <c r="K30">
        <v>1</v>
      </c>
      <c r="L30" t="s">
        <v>24</v>
      </c>
      <c r="M30" t="s">
        <v>25</v>
      </c>
      <c r="N30" t="s">
        <v>31</v>
      </c>
      <c r="O30">
        <f t="shared" ref="O30" si="30">H30-H32</f>
        <v>0.16009999999999991</v>
      </c>
      <c r="R30">
        <v>30</v>
      </c>
      <c r="S30" cm="1">
        <f t="array" aca="1" ref="S30" ca="1">IF(OR(INDIRECT("H"&amp;(2+(ROWS($Q$2:Q30)-1)*3))=0,INDIRECT("H"&amp;(4+(ROWS($Q$2:Q30)-1)*3))=0),0,INDIRECT("H"&amp;(4+(ROWS($Q$2:Q30)-1)*3))/INDIRECT("H"&amp;(2+(ROWS($Q$2:Q30)-1)*3)))*100</f>
        <v>99.993958434026084</v>
      </c>
      <c r="T30" cm="1">
        <f t="array" aca="1" ref="T30" ca="1">IF(OR(INDIRECT("I"&amp;(2+(ROWS($Q$2:R30)-1)*3))=0,INDIRECT("I"&amp;(4+(ROWS($Q$2:R30)-1)*3))=0),0,INDIRECT("I"&amp;(4+(ROWS($Q$2:R30)-1)*3))/INDIRECT("I"&amp;(2+(ROWS($Q$2:R30)-1)*3)))*100</f>
        <v>99.995218285277105</v>
      </c>
      <c r="U30" cm="1">
        <f t="array" aca="1" ref="U30" ca="1">IF(OR(INDIRECT("J"&amp;(2+(ROWS($Q$2:S30)-1)*3))=0,INDIRECT("J"&amp;(4+(ROWS($Q$2:S30)-1)*3))=0),0,INDIRECT("J"&amp;(4+(ROWS($Q$2:S30)-1)*3))/INDIRECT("J"&amp;(2+(ROWS($Q$2:S30)-1)*3)))*100</f>
        <v>99.996648950786479</v>
      </c>
      <c r="V30" cm="1">
        <f t="array" aca="1" ref="V30" ca="1">IF(OR(INDIRECT("H"&amp;(3+(ROWS($Q$2:T30)-1)*3))=0,INDIRECT("H"&amp;(4+(ROWS($Q$2:T30)-1)*3))=0),0,INDIRECT("H"&amp;(4+(ROWS($Q$2:T30)-1)*3))/INDIRECT("H"&amp;(3+(ROWS($Q$2:T30)-1)*3)))*100</f>
        <v>99.990602323911034</v>
      </c>
      <c r="W30" cm="1">
        <f t="array" aca="1" ref="W30" ca="1">IF(OR(INDIRECT("I"&amp;(3+(ROWS($Q$2:U30)-1)*3))=0,INDIRECT("I"&amp;(4+(ROWS($Q$2:U30)-1)*3))=0),0,INDIRECT("I"&amp;(4+(ROWS($Q$2:U30)-1)*3))/INDIRECT("I"&amp;(3+(ROWS($Q$2:U30)-1)*3)))*100</f>
        <v>99.989754028374506</v>
      </c>
      <c r="X30" cm="1">
        <f t="array" aca="1" ref="X30" ca="1">IF(OR(INDIRECT("J"&amp;(3+(ROWS($Q$2:V30)-1)*3))=0,INDIRECT("J"&amp;(4+(ROWS($Q$2:V30)-1)*3))=0),0,INDIRECT("J"&amp;(4+(ROWS($Q$2:V30)-1)*3))/INDIRECT("J"&amp;(3+(ROWS($Q$2:V30)-1)*3)))*100</f>
        <v>99.992627988177958</v>
      </c>
      <c r="Y30" t="str" cm="1">
        <f t="array" aca="1" ref="Y30" ca="1">INDIRECT("G"&amp;(2+(ROWS($Q$2:Q30)-1)*3))</f>
        <v>semanal</v>
      </c>
      <c r="AB30" s="10" cm="1">
        <f t="array" aca="1" ref="AB30" ca="1">IF(OR(INDIRECT("H"&amp;(2+(ROWS($Q$2:Q30)-1)*3))=0,INDIRECT("H"&amp;(4+(ROWS($Q$2:Q30)-1)*3))=0),0,INDIRECT("H"&amp;(4+(ROWS($Q$2:Q30)-1)*3))-INDIRECT("H"&amp;(2+(ROWS($Q$2:Q30)-1)*3)))*-100</f>
        <v>9.0000000000145519E-2</v>
      </c>
      <c r="AC30" s="10" cm="1">
        <f t="array" aca="1" ref="AC30" ca="1">IF(OR(INDIRECT("I"&amp;(2+(ROWS($Q$2:R30)-1)*3))=0,INDIRECT("I"&amp;(4+(ROWS($Q$2:R30)-1)*3))=0),0,INDIRECT("I"&amp;(4+(ROWS($Q$2:R30)-1)*3))-INDIRECT("I"&amp;(2+(ROWS($Q$2:R30)-1)*3)))*-100</f>
        <v>6.9999999999836859E-2</v>
      </c>
      <c r="AD30" s="10" cm="1">
        <f t="array" aca="1" ref="AD30" ca="1">IF(OR(INDIRECT("J"&amp;(2+(ROWS($Q$2:S30)-1)*3))=0,INDIRECT("J"&amp;(4+(ROWS($Q$2:S30)-1)*3))=0),0,INDIRECT("J"&amp;(4+(ROWS($Q$2:S30)-1)*3))-INDIRECT("J"&amp;(2+(ROWS($Q$2:S30)-1)*3)))*-100</f>
        <v>5.0000000000061107E-2</v>
      </c>
      <c r="AE30" t="str" cm="1">
        <f t="array" aca="1" ref="AE30" ca="1">INDIRECT("G"&amp;(2+(ROWS($Q$2:W30)-1)*3))</f>
        <v>semanal</v>
      </c>
    </row>
    <row r="31" spans="1:31" x14ac:dyDescent="0.25">
      <c r="A31">
        <v>12</v>
      </c>
      <c r="B31" s="2">
        <v>45566</v>
      </c>
      <c r="C31" s="2">
        <v>45580</v>
      </c>
      <c r="D31" t="s">
        <v>27</v>
      </c>
      <c r="E31">
        <f t="shared" si="1"/>
        <v>14</v>
      </c>
      <c r="F31" t="s">
        <v>23</v>
      </c>
      <c r="G31" t="str">
        <f t="shared" si="2"/>
        <v>2 semanas</v>
      </c>
      <c r="H31">
        <v>15.056100000000001</v>
      </c>
      <c r="I31">
        <v>0</v>
      </c>
      <c r="J31">
        <v>14.53</v>
      </c>
      <c r="K31">
        <v>1</v>
      </c>
      <c r="L31" t="s">
        <v>29</v>
      </c>
      <c r="M31" t="s">
        <v>25</v>
      </c>
      <c r="N31" t="s">
        <v>31</v>
      </c>
      <c r="O31">
        <f t="shared" ref="O31" si="31">H33-H35</f>
        <v>-0.41789999999999949</v>
      </c>
      <c r="R31">
        <v>31</v>
      </c>
      <c r="S31" cm="1">
        <f t="array" aca="1" ref="S31" ca="1">IF(OR(INDIRECT("H"&amp;(2+(ROWS($Q$2:Q31)-1)*3))=0,INDIRECT("H"&amp;(4+(ROWS($Q$2:Q31)-1)*3))=0),0,INDIRECT("H"&amp;(4+(ROWS($Q$2:Q31)-1)*3))/INDIRECT("H"&amp;(2+(ROWS($Q$2:Q31)-1)*3)))*100</f>
        <v>99.988946535775227</v>
      </c>
      <c r="T31" cm="1">
        <f t="array" aca="1" ref="T31" ca="1">IF(OR(INDIRECT("I"&amp;(2+(ROWS($Q$2:R31)-1)*3))=0,INDIRECT("I"&amp;(4+(ROWS($Q$2:R31)-1)*3))=0),0,INDIRECT("I"&amp;(4+(ROWS($Q$2:R31)-1)*3))/INDIRECT("I"&amp;(2+(ROWS($Q$2:R31)-1)*3)))*100</f>
        <v>99.987877155172413</v>
      </c>
      <c r="U31" cm="1">
        <f t="array" aca="1" ref="U31" ca="1">IF(OR(INDIRECT("J"&amp;(2+(ROWS($Q$2:S31)-1)*3))=0,INDIRECT("J"&amp;(4+(ROWS($Q$2:S31)-1)*3))=0),0,INDIRECT("J"&amp;(4+(ROWS($Q$2:S31)-1)*3))/INDIRECT("J"&amp;(2+(ROWS($Q$2:S31)-1)*3)))*100</f>
        <v>99.988390017995471</v>
      </c>
      <c r="V31" cm="1">
        <f t="array" aca="1" ref="V31" ca="1">IF(OR(INDIRECT("H"&amp;(3+(ROWS($Q$2:T31)-1)*3))=0,INDIRECT("H"&amp;(4+(ROWS($Q$2:T31)-1)*3))=0),0,INDIRECT("H"&amp;(4+(ROWS($Q$2:T31)-1)*3))/INDIRECT("H"&amp;(3+(ROWS($Q$2:T31)-1)*3)))*100</f>
        <v>99.991018874181336</v>
      </c>
      <c r="W31" cm="1">
        <f t="array" aca="1" ref="W31" ca="1">IF(OR(INDIRECT("I"&amp;(3+(ROWS($Q$2:U31)-1)*3))=0,INDIRECT("I"&amp;(4+(ROWS($Q$2:U31)-1)*3))=0),0,INDIRECT("I"&amp;(4+(ROWS($Q$2:U31)-1)*3))/INDIRECT("I"&amp;(3+(ROWS($Q$2:U31)-1)*3)))*100</f>
        <v>99.987877155172413</v>
      </c>
      <c r="X31" cm="1">
        <f t="array" aca="1" ref="X31" ca="1">IF(OR(INDIRECT("J"&amp;(3+(ROWS($Q$2:V31)-1)*3))=0,INDIRECT("J"&amp;(4+(ROWS($Q$2:V31)-1)*3))=0),0,INDIRECT("J"&amp;(4+(ROWS($Q$2:V31)-1)*3))/INDIRECT("J"&amp;(3+(ROWS($Q$2:V31)-1)*3)))*100</f>
        <v>99.989034946271232</v>
      </c>
      <c r="Y31" t="str" cm="1">
        <f t="array" aca="1" ref="Y31" ca="1">INDIRECT("G"&amp;(2+(ROWS($Q$2:Q31)-1)*3))</f>
        <v>Mensual</v>
      </c>
      <c r="AB31" s="10" cm="1">
        <f t="array" aca="1" ref="AB31" ca="1">IF(OR(INDIRECT("H"&amp;(2+(ROWS($Q$2:Q31)-1)*3))=0,INDIRECT("H"&amp;(4+(ROWS($Q$2:Q31)-1)*3))=0),0,INDIRECT("H"&amp;(4+(ROWS($Q$2:Q31)-1)*3))-INDIRECT("H"&amp;(2+(ROWS($Q$2:Q31)-1)*3)))*-100</f>
        <v>0.15999999999998238</v>
      </c>
      <c r="AC31" s="10" cm="1">
        <f t="array" aca="1" ref="AC31" ca="1">IF(OR(INDIRECT("I"&amp;(2+(ROWS($Q$2:R31)-1)*3))=0,INDIRECT("I"&amp;(4+(ROWS($Q$2:R31)-1)*3))=0),0,INDIRECT("I"&amp;(4+(ROWS($Q$2:R31)-1)*3))-INDIRECT("I"&amp;(2+(ROWS($Q$2:R31)-1)*3)))*-100</f>
        <v>0.1800000000001134</v>
      </c>
      <c r="AD31" s="10" cm="1">
        <f t="array" aca="1" ref="AD31" ca="1">IF(OR(INDIRECT("J"&amp;(2+(ROWS($Q$2:S31)-1)*3))=0,INDIRECT("J"&amp;(4+(ROWS($Q$2:S31)-1)*3))=0),0,INDIRECT("J"&amp;(4+(ROWS($Q$2:S31)-1)*3))-INDIRECT("J"&amp;(2+(ROWS($Q$2:S31)-1)*3)))*-100</f>
        <v>0.17999999999993577</v>
      </c>
      <c r="AE31" t="str" cm="1">
        <f t="array" aca="1" ref="AE31" ca="1">INDIRECT("G"&amp;(2+(ROWS($Q$2:W31)-1)*3))</f>
        <v>Mensual</v>
      </c>
    </row>
    <row r="32" spans="1:31" x14ac:dyDescent="0.25">
      <c r="A32">
        <v>12</v>
      </c>
      <c r="B32" s="2">
        <v>45573</v>
      </c>
      <c r="C32" s="2">
        <v>45580</v>
      </c>
      <c r="D32" t="s">
        <v>22</v>
      </c>
      <c r="E32">
        <f t="shared" si="1"/>
        <v>7</v>
      </c>
      <c r="F32" t="s">
        <v>23</v>
      </c>
      <c r="G32" t="str">
        <f t="shared" si="2"/>
        <v>semanal</v>
      </c>
      <c r="H32">
        <v>14.8965</v>
      </c>
      <c r="I32">
        <v>14.6388</v>
      </c>
      <c r="J32">
        <v>14.9208</v>
      </c>
      <c r="K32">
        <v>1</v>
      </c>
      <c r="L32" t="s">
        <v>24</v>
      </c>
      <c r="M32" t="s">
        <v>25</v>
      </c>
      <c r="N32" t="s">
        <v>31</v>
      </c>
      <c r="O32">
        <f t="shared" ref="O32" si="32">H32-H34</f>
        <v>4.9999999999883471E-4</v>
      </c>
      <c r="R32">
        <v>32</v>
      </c>
      <c r="S32" cm="1">
        <f t="array" aca="1" ref="S32" ca="1">IF(OR(INDIRECT("H"&amp;(2+(ROWS($Q$2:Q32)-1)*3))=0,INDIRECT("H"&amp;(4+(ROWS($Q$2:Q32)-1)*3))=0),0,INDIRECT("H"&amp;(4+(ROWS($Q$2:Q32)-1)*3))/INDIRECT("H"&amp;(2+(ROWS($Q$2:Q32)-1)*3)))*100</f>
        <v>99.998657366693294</v>
      </c>
      <c r="T32" cm="1">
        <f t="array" aca="1" ref="T32" ca="1">IF(OR(INDIRECT("I"&amp;(2+(ROWS($Q$2:R32)-1)*3))=0,INDIRECT("I"&amp;(4+(ROWS($Q$2:R32)-1)*3))=0),0,INDIRECT("I"&amp;(4+(ROWS($Q$2:R32)-1)*3))/INDIRECT("I"&amp;(2+(ROWS($Q$2:R32)-1)*3)))*100</f>
        <v>99.99726751692431</v>
      </c>
      <c r="U32" cm="1">
        <f t="array" aca="1" ref="U32" ca="1">IF(OR(INDIRECT("J"&amp;(2+(ROWS($Q$2:S32)-1)*3))=0,INDIRECT("J"&amp;(4+(ROWS($Q$2:S32)-1)*3))=0),0,INDIRECT("J"&amp;(4+(ROWS($Q$2:S32)-1)*3))/INDIRECT("J"&amp;(2+(ROWS($Q$2:S32)-1)*3)))*100</f>
        <v>99.995978606184906</v>
      </c>
      <c r="V32" cm="1">
        <f t="array" aca="1" ref="V32" ca="1">IF(OR(INDIRECT("H"&amp;(3+(ROWS($Q$2:T32)-1)*3))=0,INDIRECT("H"&amp;(4+(ROWS($Q$2:T32)-1)*3))=0),0,INDIRECT("H"&amp;(4+(ROWS($Q$2:T32)-1)*3))/INDIRECT("H"&amp;(3+(ROWS($Q$2:T32)-1)*3)))*100</f>
        <v>99.993287193979953</v>
      </c>
      <c r="W32" cm="1">
        <f t="array" aca="1" ref="W32" ca="1">IF(OR(INDIRECT("I"&amp;(3+(ROWS($Q$2:U32)-1)*3))=0,INDIRECT("I"&amp;(4+(ROWS($Q$2:U32)-1)*3))=0),0,INDIRECT("I"&amp;(4+(ROWS($Q$2:U32)-1)*3))/INDIRECT("I"&amp;(3+(ROWS($Q$2:U32)-1)*3)))*100</f>
        <v>99.991119975955627</v>
      </c>
      <c r="X32" cm="1">
        <f t="array" aca="1" ref="X32" ca="1">IF(OR(INDIRECT("J"&amp;(3+(ROWS($Q$2:V32)-1)*3))=0,INDIRECT("J"&amp;(4+(ROWS($Q$2:V32)-1)*3))=0),0,INDIRECT("J"&amp;(4+(ROWS($Q$2:V32)-1)*3))/INDIRECT("J"&amp;(3+(ROWS($Q$2:V32)-1)*3)))*100</f>
        <v>99.991957535788984</v>
      </c>
      <c r="Y32" t="str" cm="1">
        <f t="array" aca="1" ref="Y32" ca="1">INDIRECT("G"&amp;(2+(ROWS($Q$2:Q32)-1)*3))</f>
        <v>semanal</v>
      </c>
      <c r="AB32" s="10" cm="1">
        <f t="array" aca="1" ref="AB32" ca="1">IF(OR(INDIRECT("H"&amp;(2+(ROWS($Q$2:Q32)-1)*3))=0,INDIRECT("H"&amp;(4+(ROWS($Q$2:Q32)-1)*3))=0),0,INDIRECT("H"&amp;(4+(ROWS($Q$2:Q32)-1)*3))-INDIRECT("H"&amp;(2+(ROWS($Q$2:Q32)-1)*3)))*-100</f>
        <v>2.0000000000131024E-2</v>
      </c>
      <c r="AC32" s="10" cm="1">
        <f t="array" aca="1" ref="AC32" ca="1">IF(OR(INDIRECT("I"&amp;(2+(ROWS($Q$2:R32)-1)*3))=0,INDIRECT("I"&amp;(4+(ROWS($Q$2:R32)-1)*3))=0),0,INDIRECT("I"&amp;(4+(ROWS($Q$2:R32)-1)*3))-INDIRECT("I"&amp;(2+(ROWS($Q$2:R32)-1)*3)))*-100</f>
        <v>4.0000000000084412E-2</v>
      </c>
      <c r="AD32" s="10" cm="1">
        <f t="array" aca="1" ref="AD32" ca="1">IF(OR(INDIRECT("J"&amp;(2+(ROWS($Q$2:S32)-1)*3))=0,INDIRECT("J"&amp;(4+(ROWS($Q$2:S32)-1)*3))=0),0,INDIRECT("J"&amp;(4+(ROWS($Q$2:S32)-1)*3))-INDIRECT("J"&amp;(2+(ROWS($Q$2:S32)-1)*3)))*-100</f>
        <v>5.9999999999860165E-2</v>
      </c>
      <c r="AE32" t="str" cm="1">
        <f t="array" aca="1" ref="AE32" ca="1">INDIRECT("G"&amp;(2+(ROWS($Q$2:W32)-1)*3))</f>
        <v>semanal</v>
      </c>
    </row>
    <row r="33" spans="1:31" x14ac:dyDescent="0.25">
      <c r="A33">
        <v>13</v>
      </c>
      <c r="B33" s="2">
        <v>45573</v>
      </c>
      <c r="C33" s="2">
        <v>45587</v>
      </c>
      <c r="D33" t="s">
        <v>27</v>
      </c>
      <c r="E33">
        <f t="shared" si="1"/>
        <v>14</v>
      </c>
      <c r="F33" t="s">
        <v>23</v>
      </c>
      <c r="G33" t="str">
        <f t="shared" si="2"/>
        <v>2 semanas</v>
      </c>
      <c r="H33">
        <v>14.8962</v>
      </c>
      <c r="I33">
        <v>14.6387</v>
      </c>
      <c r="J33">
        <v>14.9206</v>
      </c>
      <c r="K33">
        <v>1</v>
      </c>
      <c r="L33" t="s">
        <v>24</v>
      </c>
      <c r="M33" t="s">
        <v>25</v>
      </c>
      <c r="N33" t="s">
        <v>31</v>
      </c>
      <c r="O33">
        <f t="shared" ref="O33" si="33">H35-H37</f>
        <v>2.5999999999992696E-3</v>
      </c>
      <c r="R33">
        <v>33</v>
      </c>
      <c r="S33" cm="1">
        <f t="array" aca="1" ref="S33" ca="1">IF(OR(INDIRECT("H"&amp;(2+(ROWS($Q$2:Q33)-1)*3))=0,INDIRECT("H"&amp;(4+(ROWS($Q$2:Q33)-1)*3))=0),0,INDIRECT("H"&amp;(4+(ROWS($Q$2:Q33)-1)*3))/INDIRECT("H"&amp;(2+(ROWS($Q$2:Q33)-1)*3)))*100</f>
        <v>0</v>
      </c>
      <c r="T33" cm="1">
        <f t="array" aca="1" ref="T33" ca="1">IF(OR(INDIRECT("I"&amp;(2+(ROWS($Q$2:R33)-1)*3))=0,INDIRECT("I"&amp;(4+(ROWS($Q$2:R33)-1)*3))=0),0,INDIRECT("I"&amp;(4+(ROWS($Q$2:R33)-1)*3))/INDIRECT("I"&amp;(2+(ROWS($Q$2:R33)-1)*3)))*100</f>
        <v>99.942722416847602</v>
      </c>
      <c r="U33" cm="1">
        <f t="array" aca="1" ref="U33" ca="1">IF(OR(INDIRECT("J"&amp;(2+(ROWS($Q$2:S33)-1)*3))=0,INDIRECT("J"&amp;(4+(ROWS($Q$2:S33)-1)*3))=0),0,INDIRECT("J"&amp;(4+(ROWS($Q$2:S33)-1)*3))/INDIRECT("J"&amp;(2+(ROWS($Q$2:S33)-1)*3)))*100</f>
        <v>99.936307845413836</v>
      </c>
      <c r="V33" cm="1">
        <f t="array" aca="1" ref="V33" ca="1">IF(OR(INDIRECT("H"&amp;(3+(ROWS($Q$2:T33)-1)*3))=0,INDIRECT("H"&amp;(4+(ROWS($Q$2:T33)-1)*3))=0),0,INDIRECT("H"&amp;(4+(ROWS($Q$2:T33)-1)*3))/INDIRECT("H"&amp;(3+(ROWS($Q$2:T33)-1)*3)))*100</f>
        <v>0</v>
      </c>
      <c r="W33" cm="1">
        <f t="array" aca="1" ref="W33" ca="1">IF(OR(INDIRECT("I"&amp;(3+(ROWS($Q$2:U33)-1)*3))=0,INDIRECT("I"&amp;(4+(ROWS($Q$2:U33)-1)*3))=0),0,INDIRECT("I"&amp;(4+(ROWS($Q$2:U33)-1)*3))/INDIRECT("I"&amp;(3+(ROWS($Q$2:U33)-1)*3)))*100</f>
        <v>99.944053708439895</v>
      </c>
      <c r="X33" cm="1">
        <f t="array" aca="1" ref="X33" ca="1">IF(OR(INDIRECT("J"&amp;(3+(ROWS($Q$2:V33)-1)*3))=0,INDIRECT("J"&amp;(4+(ROWS($Q$2:V33)-1)*3))=0),0,INDIRECT("J"&amp;(4+(ROWS($Q$2:V33)-1)*3))/INDIRECT("J"&amp;(3+(ROWS($Q$2:V33)-1)*3)))*100</f>
        <v>99.938296997120517</v>
      </c>
      <c r="Y33" t="str" cm="1">
        <f t="array" aca="1" ref="Y33" ca="1">INDIRECT("G"&amp;(2+(ROWS($Q$2:Q33)-1)*3))</f>
        <v>Cuatrimestral</v>
      </c>
      <c r="AB33" s="10" cm="1">
        <f t="array" aca="1" ref="AB33" ca="1">IF(OR(INDIRECT("H"&amp;(2+(ROWS($Q$2:Q33)-1)*3))=0,INDIRECT("H"&amp;(4+(ROWS($Q$2:Q33)-1)*3))=0),0,INDIRECT("H"&amp;(4+(ROWS($Q$2:Q33)-1)*3))-INDIRECT("H"&amp;(2+(ROWS($Q$2:Q33)-1)*3)))*-100</f>
        <v>0</v>
      </c>
      <c r="AC33" s="10" cm="1">
        <f t="array" aca="1" ref="AC33" ca="1">IF(OR(INDIRECT("I"&amp;(2+(ROWS($Q$2:R33)-1)*3))=0,INDIRECT("I"&amp;(4+(ROWS($Q$2:R33)-1)*3))=0),0,INDIRECT("I"&amp;(4+(ROWS($Q$2:R33)-1)*3))-INDIRECT("I"&amp;(2+(ROWS($Q$2:R33)-1)*3)))*-100</f>
        <v>0.85999999999994969</v>
      </c>
      <c r="AD33" s="10" cm="1">
        <f t="array" aca="1" ref="AD33" ca="1">IF(OR(INDIRECT("J"&amp;(2+(ROWS($Q$2:S33)-1)*3))=0,INDIRECT("J"&amp;(4+(ROWS($Q$2:S33)-1)*3))=0),0,INDIRECT("J"&amp;(4+(ROWS($Q$2:S33)-1)*3))-INDIRECT("J"&amp;(2+(ROWS($Q$2:S33)-1)*3)))*-100</f>
        <v>0.95999999999989427</v>
      </c>
      <c r="AE33" t="str" cm="1">
        <f t="array" aca="1" ref="AE33" ca="1">INDIRECT("G"&amp;(2+(ROWS($Q$2:W33)-1)*3))</f>
        <v>Cuatrimestral</v>
      </c>
    </row>
    <row r="34" spans="1:31" x14ac:dyDescent="0.25">
      <c r="A34">
        <v>13</v>
      </c>
      <c r="B34" s="2">
        <v>45573</v>
      </c>
      <c r="C34" s="2">
        <v>45587</v>
      </c>
      <c r="D34" t="s">
        <v>27</v>
      </c>
      <c r="E34">
        <f t="shared" si="1"/>
        <v>14</v>
      </c>
      <c r="F34" t="s">
        <v>23</v>
      </c>
      <c r="G34" t="str">
        <f t="shared" si="2"/>
        <v>2 semanas</v>
      </c>
      <c r="H34">
        <v>14.896000000000001</v>
      </c>
      <c r="I34">
        <v>14.638500000000001</v>
      </c>
      <c r="J34">
        <v>14.920400000000001</v>
      </c>
      <c r="K34">
        <v>1</v>
      </c>
      <c r="L34" t="s">
        <v>29</v>
      </c>
      <c r="M34" t="s">
        <v>25</v>
      </c>
      <c r="N34" t="s">
        <v>31</v>
      </c>
      <c r="O34">
        <f t="shared" ref="O34" si="34">H34-H36</f>
        <v>-0.41799999999999926</v>
      </c>
      <c r="R34">
        <v>34</v>
      </c>
      <c r="S34" cm="1">
        <f t="array" aca="1" ref="S34" ca="1">IF(OR(INDIRECT("H"&amp;(2+(ROWS($Q$2:Q34)-1)*3))=0,INDIRECT("H"&amp;(4+(ROWS($Q$2:Q34)-1)*3))=0),0,INDIRECT("H"&amp;(4+(ROWS($Q$2:Q34)-1)*3))/INDIRECT("H"&amp;(2+(ROWS($Q$2:Q34)-1)*3)))*100</f>
        <v>99.911119243990754</v>
      </c>
      <c r="T34" cm="1">
        <f t="array" aca="1" ref="T34" ca="1">IF(OR(INDIRECT("I"&amp;(2+(ROWS($Q$2:R34)-1)*3))=0,INDIRECT("I"&amp;(4+(ROWS($Q$2:R34)-1)*3))=0),0,INDIRECT("I"&amp;(4+(ROWS($Q$2:R34)-1)*3))/INDIRECT("I"&amp;(2+(ROWS($Q$2:R34)-1)*3)))*100</f>
        <v>99.896940548842096</v>
      </c>
      <c r="U34" cm="1">
        <f t="array" aca="1" ref="U34" ca="1">IF(OR(INDIRECT("J"&amp;(2+(ROWS($Q$2:S34)-1)*3))=0,INDIRECT("J"&amp;(4+(ROWS($Q$2:S34)-1)*3))=0),0,INDIRECT("J"&amp;(4+(ROWS($Q$2:S34)-1)*3))/INDIRECT("J"&amp;(2+(ROWS($Q$2:S34)-1)*3)))*100</f>
        <v>99.9183158453978</v>
      </c>
      <c r="V34" cm="1">
        <f t="array" aca="1" ref="V34" ca="1">IF(OR(INDIRECT("H"&amp;(3+(ROWS($Q$2:T34)-1)*3))=0,INDIRECT("H"&amp;(4+(ROWS($Q$2:T34)-1)*3))=0),0,INDIRECT("H"&amp;(4+(ROWS($Q$2:T34)-1)*3))/INDIRECT("H"&amp;(3+(ROWS($Q$2:T34)-1)*3)))*100</f>
        <v>99.913731128684404</v>
      </c>
      <c r="W34" cm="1">
        <f t="array" aca="1" ref="W34" ca="1">IF(OR(INDIRECT("I"&amp;(3+(ROWS($Q$2:U34)-1)*3))=0,INDIRECT("I"&amp;(4+(ROWS($Q$2:U34)-1)*3))=0),0,INDIRECT("I"&amp;(4+(ROWS($Q$2:U34)-1)*3))/INDIRECT("I"&amp;(3+(ROWS($Q$2:U34)-1)*3)))*100</f>
        <v>99.90501596540156</v>
      </c>
      <c r="X34" cm="1">
        <f t="array" aca="1" ref="X34" ca="1">IF(OR(INDIRECT("J"&amp;(3+(ROWS($Q$2:V34)-1)*3))=0,INDIRECT("J"&amp;(4+(ROWS($Q$2:V34)-1)*3))=0),0,INDIRECT("J"&amp;(4+(ROWS($Q$2:V34)-1)*3))/INDIRECT("J"&amp;(3+(ROWS($Q$2:V34)-1)*3)))*100</f>
        <v>99.9183158453978</v>
      </c>
      <c r="Y34" t="str" cm="1">
        <f t="array" aca="1" ref="Y34" ca="1">INDIRECT("G"&amp;(2+(ROWS($Q$2:Q34)-1)*3))</f>
        <v>1 año</v>
      </c>
      <c r="AB34" s="10" cm="1">
        <f t="array" aca="1" ref="AB34" ca="1">IF(OR(INDIRECT("H"&amp;(2+(ROWS($Q$2:Q34)-1)*3))=0,INDIRECT("H"&amp;(4+(ROWS($Q$2:Q34)-1)*3))=0),0,INDIRECT("H"&amp;(4+(ROWS($Q$2:Q34)-1)*3))-INDIRECT("H"&amp;(2+(ROWS($Q$2:Q34)-1)*3)))*-100</f>
        <v>1.3599999999998502</v>
      </c>
      <c r="AC34" s="10" cm="1">
        <f t="array" aca="1" ref="AC34" ca="1">IF(OR(INDIRECT("I"&amp;(2+(ROWS($Q$2:R34)-1)*3))=0,INDIRECT("I"&amp;(4+(ROWS($Q$2:R34)-1)*3))=0),0,INDIRECT("I"&amp;(4+(ROWS($Q$2:R34)-1)*3))-INDIRECT("I"&amp;(2+(ROWS($Q$2:R34)-1)*3)))*-100</f>
        <v>1.5299999999999869</v>
      </c>
      <c r="AD34" s="10" cm="1">
        <f t="array" aca="1" ref="AD34" ca="1">IF(OR(INDIRECT("J"&amp;(2+(ROWS($Q$2:S34)-1)*3))=0,INDIRECT("J"&amp;(4+(ROWS($Q$2:S34)-1)*3))=0),0,INDIRECT("J"&amp;(4+(ROWS($Q$2:S34)-1)*3))-INDIRECT("J"&amp;(2+(ROWS($Q$2:S34)-1)*3)))*-100</f>
        <v>1.2299999999999756</v>
      </c>
      <c r="AE34" t="str" cm="1">
        <f t="array" aca="1" ref="AE34" ca="1">INDIRECT("G"&amp;(2+(ROWS($Q$2:W34)-1)*3))</f>
        <v>1 año</v>
      </c>
    </row>
    <row r="35" spans="1:31" x14ac:dyDescent="0.25">
      <c r="A35">
        <v>13</v>
      </c>
      <c r="B35" s="2">
        <v>45496</v>
      </c>
      <c r="C35" s="2">
        <v>45587</v>
      </c>
      <c r="D35" t="s">
        <v>22</v>
      </c>
      <c r="E35">
        <f t="shared" si="1"/>
        <v>91</v>
      </c>
      <c r="F35" t="s">
        <v>23</v>
      </c>
      <c r="G35" t="str">
        <f t="shared" si="2"/>
        <v>Trimestral</v>
      </c>
      <c r="H35">
        <v>15.3141</v>
      </c>
      <c r="I35">
        <v>15.029400000000001</v>
      </c>
      <c r="J35">
        <v>15.076499999999999</v>
      </c>
      <c r="K35">
        <v>3</v>
      </c>
      <c r="L35" t="s">
        <v>24</v>
      </c>
      <c r="M35" t="s">
        <v>25</v>
      </c>
      <c r="N35" t="s">
        <v>31</v>
      </c>
    </row>
    <row r="36" spans="1:31" x14ac:dyDescent="0.25">
      <c r="A36">
        <v>14</v>
      </c>
      <c r="B36" s="2">
        <v>45496</v>
      </c>
      <c r="C36" s="2">
        <v>45594</v>
      </c>
      <c r="D36" t="s">
        <v>27</v>
      </c>
      <c r="E36">
        <f t="shared" si="1"/>
        <v>98</v>
      </c>
      <c r="F36" t="s">
        <v>23</v>
      </c>
      <c r="G36" t="str">
        <f t="shared" si="2"/>
        <v>Trimestral</v>
      </c>
      <c r="H36">
        <v>15.314</v>
      </c>
      <c r="I36">
        <v>15.029400000000001</v>
      </c>
      <c r="J36">
        <v>15.0768</v>
      </c>
      <c r="K36">
        <v>3</v>
      </c>
      <c r="L36" t="s">
        <v>24</v>
      </c>
      <c r="M36" t="s">
        <v>25</v>
      </c>
      <c r="N36" t="s">
        <v>32</v>
      </c>
    </row>
    <row r="37" spans="1:31" x14ac:dyDescent="0.25">
      <c r="A37">
        <v>14</v>
      </c>
      <c r="B37" s="2">
        <v>45496</v>
      </c>
      <c r="C37" s="2">
        <v>45594</v>
      </c>
      <c r="D37" t="s">
        <v>27</v>
      </c>
      <c r="E37">
        <f t="shared" si="1"/>
        <v>98</v>
      </c>
      <c r="F37" t="s">
        <v>23</v>
      </c>
      <c r="G37" t="str">
        <f t="shared" si="2"/>
        <v>Trimestral</v>
      </c>
      <c r="H37">
        <v>15.311500000000001</v>
      </c>
      <c r="I37">
        <v>15.026</v>
      </c>
      <c r="J37">
        <v>15.072800000000001</v>
      </c>
      <c r="K37">
        <v>3</v>
      </c>
      <c r="L37" t="s">
        <v>29</v>
      </c>
      <c r="M37" t="s">
        <v>25</v>
      </c>
      <c r="N37" t="s">
        <v>32</v>
      </c>
    </row>
    <row r="38" spans="1:31" x14ac:dyDescent="0.25">
      <c r="A38">
        <v>14</v>
      </c>
      <c r="B38" s="2">
        <v>45580</v>
      </c>
      <c r="C38" s="2">
        <v>45594</v>
      </c>
      <c r="D38" t="s">
        <v>22</v>
      </c>
      <c r="E38">
        <f t="shared" si="1"/>
        <v>14</v>
      </c>
      <c r="F38" t="s">
        <v>23</v>
      </c>
      <c r="G38" t="str">
        <f t="shared" si="2"/>
        <v>2 semanas</v>
      </c>
      <c r="H38">
        <v>15.056800000000001</v>
      </c>
      <c r="I38">
        <v>0</v>
      </c>
      <c r="J38">
        <v>14.5311</v>
      </c>
      <c r="K38">
        <v>1</v>
      </c>
      <c r="L38" t="s">
        <v>24</v>
      </c>
      <c r="M38" t="s">
        <v>25</v>
      </c>
      <c r="N38" t="s">
        <v>32</v>
      </c>
    </row>
    <row r="39" spans="1:31" x14ac:dyDescent="0.25">
      <c r="A39">
        <v>15</v>
      </c>
      <c r="B39" s="2">
        <v>45580</v>
      </c>
      <c r="C39" s="2">
        <v>45601</v>
      </c>
      <c r="D39" t="s">
        <v>27</v>
      </c>
      <c r="E39">
        <f t="shared" si="1"/>
        <v>21</v>
      </c>
      <c r="F39" t="s">
        <v>23</v>
      </c>
      <c r="G39" t="str">
        <f t="shared" si="2"/>
        <v>Mensual</v>
      </c>
      <c r="H39">
        <v>15.0566</v>
      </c>
      <c r="I39">
        <v>0</v>
      </c>
      <c r="J39">
        <v>14.5304</v>
      </c>
      <c r="K39">
        <v>1</v>
      </c>
      <c r="L39" t="s">
        <v>24</v>
      </c>
      <c r="M39" t="s">
        <v>25</v>
      </c>
      <c r="N39" t="s">
        <v>31</v>
      </c>
    </row>
    <row r="40" spans="1:31" x14ac:dyDescent="0.25">
      <c r="A40">
        <v>15</v>
      </c>
      <c r="B40" s="2">
        <v>45580</v>
      </c>
      <c r="C40" s="2">
        <v>45601</v>
      </c>
      <c r="D40" t="s">
        <v>27</v>
      </c>
      <c r="E40">
        <f t="shared" si="1"/>
        <v>21</v>
      </c>
      <c r="F40" t="s">
        <v>23</v>
      </c>
      <c r="G40" t="str">
        <f t="shared" si="2"/>
        <v>Mensual</v>
      </c>
      <c r="H40">
        <v>15.055899999999999</v>
      </c>
      <c r="I40">
        <v>0</v>
      </c>
      <c r="J40">
        <v>14.5296</v>
      </c>
      <c r="K40">
        <v>1</v>
      </c>
      <c r="L40" t="s">
        <v>29</v>
      </c>
      <c r="M40" t="s">
        <v>25</v>
      </c>
      <c r="N40" t="s">
        <v>31</v>
      </c>
    </row>
    <row r="41" spans="1:31" x14ac:dyDescent="0.25">
      <c r="A41">
        <v>15</v>
      </c>
      <c r="B41" s="2">
        <v>45594</v>
      </c>
      <c r="C41" s="2">
        <v>45601</v>
      </c>
      <c r="D41" t="s">
        <v>22</v>
      </c>
      <c r="E41">
        <f t="shared" si="1"/>
        <v>7</v>
      </c>
      <c r="F41" t="s">
        <v>23</v>
      </c>
      <c r="G41" t="str">
        <f t="shared" si="2"/>
        <v>semanal</v>
      </c>
      <c r="H41">
        <v>15.3118</v>
      </c>
      <c r="I41">
        <v>15.0265</v>
      </c>
      <c r="J41">
        <v>15.0677</v>
      </c>
      <c r="K41">
        <v>1</v>
      </c>
      <c r="L41" t="s">
        <v>24</v>
      </c>
      <c r="M41" t="s">
        <v>25</v>
      </c>
      <c r="N41" t="s">
        <v>31</v>
      </c>
    </row>
    <row r="42" spans="1:31" x14ac:dyDescent="0.25">
      <c r="A42">
        <v>16</v>
      </c>
      <c r="B42" s="2">
        <v>45594</v>
      </c>
      <c r="C42" s="2">
        <v>45608</v>
      </c>
      <c r="D42" t="s">
        <v>27</v>
      </c>
      <c r="E42">
        <f t="shared" si="1"/>
        <v>14</v>
      </c>
      <c r="F42" t="s">
        <v>23</v>
      </c>
      <c r="G42" t="str">
        <f t="shared" si="2"/>
        <v>2 semanas</v>
      </c>
      <c r="H42">
        <v>15.3119</v>
      </c>
      <c r="I42">
        <v>15.0266</v>
      </c>
      <c r="J42">
        <v>15.0677</v>
      </c>
      <c r="K42">
        <v>1</v>
      </c>
      <c r="L42" t="s">
        <v>24</v>
      </c>
      <c r="M42" t="s">
        <v>25</v>
      </c>
      <c r="N42" t="s">
        <v>31</v>
      </c>
    </row>
    <row r="43" spans="1:31" x14ac:dyDescent="0.25">
      <c r="A43">
        <v>16</v>
      </c>
      <c r="B43" s="2">
        <v>45594</v>
      </c>
      <c r="C43" s="2">
        <v>45608</v>
      </c>
      <c r="D43" t="s">
        <v>27</v>
      </c>
      <c r="E43">
        <f t="shared" si="1"/>
        <v>14</v>
      </c>
      <c r="F43" t="s">
        <v>23</v>
      </c>
      <c r="G43" t="str">
        <f t="shared" si="2"/>
        <v>2 semanas</v>
      </c>
      <c r="H43">
        <v>0</v>
      </c>
      <c r="I43">
        <v>15.0258</v>
      </c>
      <c r="J43">
        <v>15.0669</v>
      </c>
      <c r="K43">
        <v>1</v>
      </c>
      <c r="L43" t="s">
        <v>29</v>
      </c>
      <c r="M43" t="s">
        <v>25</v>
      </c>
      <c r="N43" t="s">
        <v>31</v>
      </c>
    </row>
    <row r="44" spans="1:31" x14ac:dyDescent="0.25">
      <c r="A44">
        <v>16</v>
      </c>
      <c r="B44" s="2">
        <v>45601</v>
      </c>
      <c r="C44" s="2">
        <v>45608</v>
      </c>
      <c r="D44" t="s">
        <v>22</v>
      </c>
      <c r="E44">
        <f t="shared" si="1"/>
        <v>7</v>
      </c>
      <c r="F44" t="s">
        <v>23</v>
      </c>
      <c r="G44" t="str">
        <f t="shared" si="2"/>
        <v>semanal</v>
      </c>
      <c r="H44">
        <v>15.0564</v>
      </c>
      <c r="I44">
        <v>0</v>
      </c>
      <c r="J44">
        <v>14.5303</v>
      </c>
      <c r="K44">
        <v>1</v>
      </c>
      <c r="L44" t="s">
        <v>24</v>
      </c>
      <c r="M44" t="s">
        <v>25</v>
      </c>
      <c r="N44" t="s">
        <v>31</v>
      </c>
    </row>
    <row r="45" spans="1:31" x14ac:dyDescent="0.25">
      <c r="A45">
        <v>17</v>
      </c>
      <c r="B45" s="2">
        <v>45601</v>
      </c>
      <c r="C45" s="2">
        <v>45615</v>
      </c>
      <c r="D45" t="s">
        <v>27</v>
      </c>
      <c r="E45">
        <f t="shared" si="1"/>
        <v>14</v>
      </c>
      <c r="F45" t="s">
        <v>23</v>
      </c>
      <c r="G45" t="str">
        <f t="shared" si="2"/>
        <v>2 semanas</v>
      </c>
      <c r="H45">
        <v>15.0564</v>
      </c>
      <c r="I45">
        <v>0</v>
      </c>
      <c r="J45">
        <v>14.5303</v>
      </c>
      <c r="K45">
        <v>1</v>
      </c>
      <c r="L45" t="s">
        <v>24</v>
      </c>
      <c r="M45" t="s">
        <v>25</v>
      </c>
      <c r="N45" t="s">
        <v>31</v>
      </c>
    </row>
    <row r="46" spans="1:31" x14ac:dyDescent="0.25">
      <c r="A46">
        <v>17</v>
      </c>
      <c r="B46" s="2">
        <v>45601</v>
      </c>
      <c r="C46" s="2">
        <v>45615</v>
      </c>
      <c r="D46" t="s">
        <v>27</v>
      </c>
      <c r="E46">
        <f t="shared" si="1"/>
        <v>14</v>
      </c>
      <c r="F46" t="s">
        <v>23</v>
      </c>
      <c r="G46" t="str">
        <f t="shared" si="2"/>
        <v>2 semanas</v>
      </c>
      <c r="H46">
        <v>15.0558</v>
      </c>
      <c r="I46">
        <v>0</v>
      </c>
      <c r="J46">
        <v>14.5298</v>
      </c>
      <c r="K46">
        <v>1</v>
      </c>
      <c r="L46" t="s">
        <v>29</v>
      </c>
      <c r="M46" t="s">
        <v>25</v>
      </c>
      <c r="N46" t="s">
        <v>31</v>
      </c>
    </row>
    <row r="47" spans="1:31" x14ac:dyDescent="0.25">
      <c r="A47">
        <v>17</v>
      </c>
      <c r="B47" s="2">
        <v>45496</v>
      </c>
      <c r="C47" s="2">
        <v>45615</v>
      </c>
      <c r="D47" t="s">
        <v>22</v>
      </c>
      <c r="E47">
        <f t="shared" si="1"/>
        <v>119</v>
      </c>
      <c r="F47" t="s">
        <v>23</v>
      </c>
      <c r="G47" t="str">
        <f t="shared" si="2"/>
        <v>Cuatrimestral</v>
      </c>
      <c r="H47">
        <v>15.0776</v>
      </c>
      <c r="I47">
        <v>14.7904</v>
      </c>
      <c r="J47">
        <v>15.2188</v>
      </c>
      <c r="K47">
        <v>4</v>
      </c>
      <c r="L47" t="s">
        <v>24</v>
      </c>
      <c r="M47" t="s">
        <v>25</v>
      </c>
      <c r="N47" t="s">
        <v>31</v>
      </c>
    </row>
    <row r="48" spans="1:31" x14ac:dyDescent="0.25">
      <c r="A48">
        <v>18</v>
      </c>
      <c r="B48" s="2">
        <v>45496</v>
      </c>
      <c r="C48" s="2">
        <v>45622</v>
      </c>
      <c r="D48" t="s">
        <v>27</v>
      </c>
      <c r="E48">
        <f t="shared" si="1"/>
        <v>126</v>
      </c>
      <c r="F48" t="s">
        <v>23</v>
      </c>
      <c r="G48" t="str">
        <f t="shared" si="2"/>
        <v>Cuatrimestral</v>
      </c>
      <c r="H48">
        <v>15.076499999999999</v>
      </c>
      <c r="I48">
        <v>14.789400000000001</v>
      </c>
      <c r="J48">
        <v>15.218500000000001</v>
      </c>
      <c r="K48">
        <v>4</v>
      </c>
      <c r="L48" t="s">
        <v>24</v>
      </c>
      <c r="M48" t="s">
        <v>25</v>
      </c>
      <c r="N48" t="s">
        <v>31</v>
      </c>
    </row>
    <row r="49" spans="1:14" x14ac:dyDescent="0.25">
      <c r="A49">
        <v>18</v>
      </c>
      <c r="B49" s="2">
        <v>45496</v>
      </c>
      <c r="C49" s="2">
        <v>45622</v>
      </c>
      <c r="D49" t="s">
        <v>27</v>
      </c>
      <c r="E49">
        <f t="shared" si="1"/>
        <v>126</v>
      </c>
      <c r="F49" t="s">
        <v>23</v>
      </c>
      <c r="G49" t="str">
        <f t="shared" si="2"/>
        <v>Cuatrimestral</v>
      </c>
      <c r="H49">
        <v>15.074299999999999</v>
      </c>
      <c r="I49">
        <v>14.7864</v>
      </c>
      <c r="J49">
        <v>15.2158</v>
      </c>
      <c r="K49">
        <v>4</v>
      </c>
      <c r="L49" t="s">
        <v>29</v>
      </c>
      <c r="M49" t="s">
        <v>25</v>
      </c>
      <c r="N49" t="s">
        <v>31</v>
      </c>
    </row>
    <row r="50" spans="1:14" x14ac:dyDescent="0.25">
      <c r="A50">
        <v>18</v>
      </c>
      <c r="B50" s="2">
        <v>45608</v>
      </c>
      <c r="C50" s="2">
        <v>45622</v>
      </c>
      <c r="D50" t="s">
        <v>22</v>
      </c>
      <c r="E50">
        <f t="shared" si="1"/>
        <v>14</v>
      </c>
      <c r="F50" t="s">
        <v>23</v>
      </c>
      <c r="G50" t="str">
        <f t="shared" si="2"/>
        <v>2 semanas</v>
      </c>
      <c r="H50">
        <v>0</v>
      </c>
      <c r="I50">
        <v>15.0177</v>
      </c>
      <c r="J50">
        <v>15.0656</v>
      </c>
      <c r="K50">
        <v>1</v>
      </c>
      <c r="L50" t="s">
        <v>24</v>
      </c>
      <c r="M50" t="s">
        <v>25</v>
      </c>
      <c r="N50" t="s">
        <v>31</v>
      </c>
    </row>
    <row r="51" spans="1:14" x14ac:dyDescent="0.25">
      <c r="A51">
        <v>19</v>
      </c>
      <c r="B51" s="2">
        <v>45608</v>
      </c>
      <c r="C51" s="2">
        <v>45629</v>
      </c>
      <c r="D51" t="s">
        <v>27</v>
      </c>
      <c r="E51">
        <f t="shared" si="1"/>
        <v>21</v>
      </c>
      <c r="F51" t="s">
        <v>23</v>
      </c>
      <c r="G51" t="str">
        <f t="shared" si="2"/>
        <v>Mensual</v>
      </c>
      <c r="H51">
        <v>0</v>
      </c>
      <c r="I51">
        <v>15.0177</v>
      </c>
      <c r="J51">
        <v>15.0654</v>
      </c>
      <c r="K51">
        <v>1</v>
      </c>
      <c r="L51" t="s">
        <v>24</v>
      </c>
      <c r="M51" t="s">
        <v>25</v>
      </c>
      <c r="N51" t="s">
        <v>31</v>
      </c>
    </row>
    <row r="52" spans="1:14" x14ac:dyDescent="0.25">
      <c r="A52">
        <v>19</v>
      </c>
      <c r="B52" s="2">
        <v>45608</v>
      </c>
      <c r="C52" s="2">
        <v>45629</v>
      </c>
      <c r="D52" t="s">
        <v>27</v>
      </c>
      <c r="E52">
        <f t="shared" si="1"/>
        <v>21</v>
      </c>
      <c r="F52" t="s">
        <v>23</v>
      </c>
      <c r="G52" t="str">
        <f t="shared" si="2"/>
        <v>Mensual</v>
      </c>
      <c r="H52">
        <v>0</v>
      </c>
      <c r="I52">
        <v>15.016299999999999</v>
      </c>
      <c r="J52">
        <v>15.064500000000001</v>
      </c>
      <c r="K52">
        <v>1</v>
      </c>
      <c r="L52" t="s">
        <v>29</v>
      </c>
      <c r="M52" t="s">
        <v>25</v>
      </c>
      <c r="N52" t="s">
        <v>31</v>
      </c>
    </row>
    <row r="53" spans="1:14" x14ac:dyDescent="0.25">
      <c r="A53">
        <v>19</v>
      </c>
      <c r="B53" s="2">
        <v>45622</v>
      </c>
      <c r="C53" s="2">
        <v>45629</v>
      </c>
      <c r="D53" t="s">
        <v>22</v>
      </c>
      <c r="E53">
        <f t="shared" si="1"/>
        <v>7</v>
      </c>
      <c r="F53" t="s">
        <v>23</v>
      </c>
      <c r="G53" t="str">
        <f t="shared" si="2"/>
        <v>semanal</v>
      </c>
      <c r="H53">
        <v>15.073600000000001</v>
      </c>
      <c r="I53">
        <v>14.787100000000001</v>
      </c>
      <c r="J53">
        <v>15.207700000000001</v>
      </c>
      <c r="K53">
        <v>1</v>
      </c>
      <c r="L53" t="s">
        <v>24</v>
      </c>
      <c r="M53" t="s">
        <v>25</v>
      </c>
      <c r="N53" t="s">
        <v>31</v>
      </c>
    </row>
    <row r="54" spans="1:14" x14ac:dyDescent="0.25">
      <c r="A54">
        <v>20</v>
      </c>
      <c r="B54" s="2">
        <v>45622</v>
      </c>
      <c r="C54" s="2">
        <v>45636</v>
      </c>
      <c r="D54" t="s">
        <v>27</v>
      </c>
      <c r="E54">
        <f t="shared" si="1"/>
        <v>14</v>
      </c>
      <c r="F54" t="s">
        <v>23</v>
      </c>
      <c r="G54" t="str">
        <f t="shared" si="2"/>
        <v>2 semanas</v>
      </c>
      <c r="H54">
        <v>15.073600000000001</v>
      </c>
      <c r="I54">
        <v>14.787100000000001</v>
      </c>
      <c r="J54">
        <v>15.207800000000001</v>
      </c>
      <c r="K54">
        <v>1</v>
      </c>
      <c r="L54" t="s">
        <v>24</v>
      </c>
      <c r="M54" t="s">
        <v>25</v>
      </c>
      <c r="N54" t="s">
        <v>31</v>
      </c>
    </row>
    <row r="55" spans="1:14" x14ac:dyDescent="0.25">
      <c r="A55">
        <v>20</v>
      </c>
      <c r="B55" s="2">
        <v>45622</v>
      </c>
      <c r="C55" s="2">
        <v>45636</v>
      </c>
      <c r="D55" t="s">
        <v>27</v>
      </c>
      <c r="E55">
        <f t="shared" si="1"/>
        <v>14</v>
      </c>
      <c r="F55" t="s">
        <v>23</v>
      </c>
      <c r="G55" t="str">
        <f t="shared" si="2"/>
        <v>2 semanas</v>
      </c>
      <c r="H55">
        <v>15.072800000000001</v>
      </c>
      <c r="I55">
        <v>14.7864</v>
      </c>
      <c r="J55">
        <v>15.2072</v>
      </c>
      <c r="K55">
        <v>1</v>
      </c>
      <c r="L55" t="s">
        <v>29</v>
      </c>
      <c r="M55" t="s">
        <v>25</v>
      </c>
      <c r="N55" t="s">
        <v>31</v>
      </c>
    </row>
    <row r="56" spans="1:14" x14ac:dyDescent="0.25">
      <c r="A56">
        <v>20</v>
      </c>
      <c r="B56" s="2">
        <v>45629</v>
      </c>
      <c r="C56" s="2">
        <v>45636</v>
      </c>
      <c r="D56" t="s">
        <v>22</v>
      </c>
      <c r="E56">
        <f t="shared" si="1"/>
        <v>7</v>
      </c>
      <c r="F56" t="s">
        <v>23</v>
      </c>
      <c r="G56" t="str">
        <f t="shared" si="2"/>
        <v>semanal</v>
      </c>
      <c r="H56">
        <v>0</v>
      </c>
      <c r="I56">
        <v>15.016500000000001</v>
      </c>
      <c r="J56">
        <v>15.0647</v>
      </c>
      <c r="K56">
        <v>1</v>
      </c>
      <c r="L56" t="s">
        <v>24</v>
      </c>
      <c r="M56" t="s">
        <v>25</v>
      </c>
      <c r="N56" t="s">
        <v>31</v>
      </c>
    </row>
    <row r="57" spans="1:14" x14ac:dyDescent="0.25">
      <c r="A57">
        <v>21</v>
      </c>
      <c r="B57" s="2">
        <v>45629</v>
      </c>
      <c r="C57" s="2">
        <v>45643</v>
      </c>
      <c r="D57" t="s">
        <v>27</v>
      </c>
      <c r="E57">
        <f t="shared" si="1"/>
        <v>14</v>
      </c>
      <c r="F57" t="s">
        <v>23</v>
      </c>
      <c r="G57" t="str">
        <f t="shared" si="2"/>
        <v>2 semanas</v>
      </c>
      <c r="H57" s="3">
        <v>0</v>
      </c>
      <c r="I57">
        <v>15.0168</v>
      </c>
      <c r="J57">
        <v>15.0648</v>
      </c>
      <c r="K57">
        <v>1</v>
      </c>
      <c r="L57" t="s">
        <v>24</v>
      </c>
      <c r="M57" t="s">
        <v>25</v>
      </c>
      <c r="N57" t="s">
        <v>31</v>
      </c>
    </row>
    <row r="58" spans="1:14" x14ac:dyDescent="0.25">
      <c r="A58">
        <v>21</v>
      </c>
      <c r="B58" s="2">
        <v>45629</v>
      </c>
      <c r="C58" s="2">
        <v>45643</v>
      </c>
      <c r="D58" t="s">
        <v>27</v>
      </c>
      <c r="E58">
        <f t="shared" si="1"/>
        <v>14</v>
      </c>
      <c r="F58" t="s">
        <v>23</v>
      </c>
      <c r="G58" t="str">
        <f t="shared" si="2"/>
        <v>2 semanas</v>
      </c>
      <c r="H58">
        <v>0</v>
      </c>
      <c r="I58">
        <v>15.016299999999999</v>
      </c>
      <c r="J58">
        <v>15.064399999999999</v>
      </c>
      <c r="K58">
        <v>1</v>
      </c>
      <c r="L58" t="s">
        <v>29</v>
      </c>
      <c r="M58" t="s">
        <v>25</v>
      </c>
      <c r="N58" t="s">
        <v>31</v>
      </c>
    </row>
    <row r="59" spans="1:14" x14ac:dyDescent="0.25">
      <c r="A59">
        <v>21</v>
      </c>
      <c r="B59" s="2">
        <v>45636</v>
      </c>
      <c r="C59" s="2">
        <v>45643</v>
      </c>
      <c r="D59" t="s">
        <v>22</v>
      </c>
      <c r="E59">
        <f t="shared" si="1"/>
        <v>7</v>
      </c>
      <c r="F59" t="s">
        <v>23</v>
      </c>
      <c r="G59" t="str">
        <f t="shared" si="2"/>
        <v>semanal</v>
      </c>
      <c r="H59">
        <v>15.0718</v>
      </c>
      <c r="I59">
        <v>14.787100000000001</v>
      </c>
      <c r="J59">
        <v>15.2073</v>
      </c>
      <c r="K59">
        <v>1</v>
      </c>
      <c r="L59" t="s">
        <v>24</v>
      </c>
      <c r="M59" t="s">
        <v>25</v>
      </c>
      <c r="N59" t="s">
        <v>31</v>
      </c>
    </row>
    <row r="60" spans="1:14" x14ac:dyDescent="0.25">
      <c r="A60">
        <v>22</v>
      </c>
      <c r="B60" s="2">
        <v>45636</v>
      </c>
      <c r="C60" s="2">
        <v>45650</v>
      </c>
      <c r="D60" t="s">
        <v>27</v>
      </c>
      <c r="E60">
        <f t="shared" si="1"/>
        <v>14</v>
      </c>
      <c r="F60" t="s">
        <v>23</v>
      </c>
      <c r="G60" t="str">
        <f t="shared" si="2"/>
        <v>2 semanas</v>
      </c>
      <c r="H60">
        <v>15.0717</v>
      </c>
      <c r="I60">
        <v>14.787000000000001</v>
      </c>
      <c r="J60">
        <v>15.2075</v>
      </c>
      <c r="K60">
        <v>1</v>
      </c>
      <c r="L60" t="s">
        <v>24</v>
      </c>
      <c r="M60" t="s">
        <v>25</v>
      </c>
      <c r="N60" t="s">
        <v>31</v>
      </c>
    </row>
    <row r="61" spans="1:14" x14ac:dyDescent="0.25">
      <c r="A61">
        <v>22</v>
      </c>
      <c r="B61" s="2">
        <v>45636</v>
      </c>
      <c r="C61" s="2">
        <v>45650</v>
      </c>
      <c r="D61" t="s">
        <v>27</v>
      </c>
      <c r="E61">
        <f t="shared" si="1"/>
        <v>14</v>
      </c>
      <c r="F61" t="s">
        <v>23</v>
      </c>
      <c r="G61" t="str">
        <f t="shared" si="2"/>
        <v>2 semanas</v>
      </c>
      <c r="H61">
        <v>15.071</v>
      </c>
      <c r="I61">
        <v>14.786300000000001</v>
      </c>
      <c r="J61">
        <v>15.206899999999999</v>
      </c>
      <c r="K61">
        <v>1</v>
      </c>
      <c r="L61" t="s">
        <v>29</v>
      </c>
      <c r="M61" t="s">
        <v>25</v>
      </c>
      <c r="N61" t="s">
        <v>31</v>
      </c>
    </row>
    <row r="62" spans="1:14" x14ac:dyDescent="0.25">
      <c r="A62">
        <v>22</v>
      </c>
      <c r="B62" s="2">
        <v>45643</v>
      </c>
      <c r="C62" s="2">
        <v>45650</v>
      </c>
      <c r="D62" t="s">
        <v>22</v>
      </c>
      <c r="E62">
        <f t="shared" si="1"/>
        <v>7</v>
      </c>
      <c r="F62" t="s">
        <v>23</v>
      </c>
      <c r="G62" t="str">
        <f t="shared" si="2"/>
        <v>semanal</v>
      </c>
      <c r="H62">
        <v>0</v>
      </c>
      <c r="I62">
        <v>15.007099999999999</v>
      </c>
      <c r="J62">
        <v>15.063700000000001</v>
      </c>
      <c r="K62">
        <v>1</v>
      </c>
      <c r="L62" t="s">
        <v>24</v>
      </c>
      <c r="M62" t="s">
        <v>25</v>
      </c>
      <c r="N62" t="s">
        <v>31</v>
      </c>
    </row>
    <row r="63" spans="1:14" x14ac:dyDescent="0.25">
      <c r="A63">
        <v>23</v>
      </c>
      <c r="B63" s="2">
        <v>45643</v>
      </c>
      <c r="C63" s="2">
        <v>45657</v>
      </c>
      <c r="D63" t="s">
        <v>27</v>
      </c>
      <c r="E63">
        <f t="shared" si="1"/>
        <v>14</v>
      </c>
      <c r="F63" t="s">
        <v>23</v>
      </c>
      <c r="G63" t="str">
        <f t="shared" si="2"/>
        <v>2 semanas</v>
      </c>
      <c r="H63">
        <v>0</v>
      </c>
      <c r="I63">
        <v>15.0069</v>
      </c>
      <c r="J63">
        <v>15.063700000000001</v>
      </c>
      <c r="K63">
        <v>1</v>
      </c>
      <c r="L63" t="s">
        <v>24</v>
      </c>
      <c r="M63" t="s">
        <v>25</v>
      </c>
      <c r="N63" t="s">
        <v>31</v>
      </c>
    </row>
    <row r="64" spans="1:14" x14ac:dyDescent="0.25">
      <c r="A64">
        <v>23</v>
      </c>
      <c r="B64" s="2">
        <v>45643</v>
      </c>
      <c r="C64" s="2">
        <v>45657</v>
      </c>
      <c r="D64" t="s">
        <v>27</v>
      </c>
      <c r="E64">
        <f t="shared" si="1"/>
        <v>14</v>
      </c>
      <c r="F64" t="s">
        <v>23</v>
      </c>
      <c r="G64" t="str">
        <f t="shared" si="2"/>
        <v>2 semanas</v>
      </c>
      <c r="H64">
        <v>0</v>
      </c>
      <c r="I64">
        <v>15.0061</v>
      </c>
      <c r="J64">
        <v>15.063000000000001</v>
      </c>
      <c r="K64">
        <v>1</v>
      </c>
      <c r="L64" t="s">
        <v>29</v>
      </c>
      <c r="M64" t="s">
        <v>25</v>
      </c>
      <c r="N64" t="s">
        <v>31</v>
      </c>
    </row>
    <row r="65" spans="1:17" x14ac:dyDescent="0.25">
      <c r="A65">
        <v>23</v>
      </c>
      <c r="B65" s="2">
        <v>45650</v>
      </c>
      <c r="C65" s="2">
        <v>45657</v>
      </c>
      <c r="D65" t="s">
        <v>22</v>
      </c>
      <c r="E65">
        <f t="shared" si="1"/>
        <v>7</v>
      </c>
      <c r="F65" t="s">
        <v>23</v>
      </c>
      <c r="G65" t="str">
        <f t="shared" si="2"/>
        <v>semanal</v>
      </c>
      <c r="H65">
        <v>15.071400000000001</v>
      </c>
      <c r="I65">
        <v>14.786799999999999</v>
      </c>
      <c r="J65">
        <v>15.2074</v>
      </c>
      <c r="K65">
        <v>1</v>
      </c>
      <c r="L65" t="s">
        <v>24</v>
      </c>
      <c r="M65" t="s">
        <v>25</v>
      </c>
      <c r="N65" t="s">
        <v>31</v>
      </c>
    </row>
    <row r="66" spans="1:17" x14ac:dyDescent="0.25">
      <c r="A66">
        <v>24</v>
      </c>
      <c r="B66" s="2">
        <v>45650</v>
      </c>
      <c r="C66" s="2">
        <v>45664</v>
      </c>
      <c r="D66" t="s">
        <v>27</v>
      </c>
      <c r="E66">
        <f t="shared" si="1"/>
        <v>14</v>
      </c>
      <c r="F66" t="s">
        <v>23</v>
      </c>
      <c r="G66" t="str">
        <f t="shared" si="2"/>
        <v>2 semanas</v>
      </c>
      <c r="H66">
        <v>15.0718</v>
      </c>
      <c r="I66">
        <v>14.7858</v>
      </c>
      <c r="J66">
        <v>15.2074</v>
      </c>
      <c r="K66">
        <v>1</v>
      </c>
      <c r="L66" t="s">
        <v>24</v>
      </c>
      <c r="M66" t="s">
        <v>25</v>
      </c>
      <c r="N66" t="s">
        <v>31</v>
      </c>
    </row>
    <row r="67" spans="1:17" x14ac:dyDescent="0.25">
      <c r="A67">
        <v>24</v>
      </c>
      <c r="B67" s="2">
        <v>45650</v>
      </c>
      <c r="C67" s="2">
        <v>45664</v>
      </c>
      <c r="D67" t="s">
        <v>27</v>
      </c>
      <c r="E67">
        <f t="shared" ref="E67:E97" si="35">C67-B67</f>
        <v>14</v>
      </c>
      <c r="F67" t="s">
        <v>23</v>
      </c>
      <c r="G67" t="str">
        <f t="shared" ref="G67:G97" si="36">IF(E67&lt;=10,"semanal",IF(E67&lt;=16,"2 semanas",IF(E67&lt;=35,"Mensual",IF(E67&lt;=60,"2 Meses",IF(E67&lt;=98,"Trimestral",IF(E67&lt;=133,"Cuatrimestral",IF(E67&lt;=197,"Semestral",IF(E67&lt;= 220, "7 meses",IF(E67&lt;=277,"9 meses",IF(E67&lt;=372,"1 año"))))))))))</f>
        <v>2 semanas</v>
      </c>
      <c r="H67">
        <v>15.071300000000001</v>
      </c>
      <c r="I67">
        <v>14.7865</v>
      </c>
      <c r="J67">
        <v>15.2066</v>
      </c>
      <c r="K67">
        <v>1</v>
      </c>
      <c r="L67" t="s">
        <v>29</v>
      </c>
      <c r="M67" t="s">
        <v>25</v>
      </c>
      <c r="N67" t="s">
        <v>31</v>
      </c>
    </row>
    <row r="68" spans="1:17" x14ac:dyDescent="0.25">
      <c r="A68">
        <v>24</v>
      </c>
      <c r="B68" s="2">
        <v>45657</v>
      </c>
      <c r="C68" s="2">
        <v>45664</v>
      </c>
      <c r="D68" t="s">
        <v>22</v>
      </c>
      <c r="E68">
        <f t="shared" si="35"/>
        <v>7</v>
      </c>
      <c r="F68" t="s">
        <v>23</v>
      </c>
      <c r="G68" t="str">
        <f t="shared" si="36"/>
        <v>semanal</v>
      </c>
      <c r="H68">
        <v>0</v>
      </c>
      <c r="I68">
        <v>15.0068</v>
      </c>
      <c r="J68">
        <v>15.063700000000001</v>
      </c>
      <c r="K68">
        <v>1</v>
      </c>
      <c r="L68" t="s">
        <v>24</v>
      </c>
      <c r="M68" t="s">
        <v>25</v>
      </c>
      <c r="N68" t="s">
        <v>31</v>
      </c>
    </row>
    <row r="69" spans="1:17" x14ac:dyDescent="0.25">
      <c r="A69">
        <v>25</v>
      </c>
      <c r="B69" s="2">
        <v>45657</v>
      </c>
      <c r="C69" s="2">
        <v>45673</v>
      </c>
      <c r="D69" t="s">
        <v>27</v>
      </c>
      <c r="E69">
        <f t="shared" si="35"/>
        <v>16</v>
      </c>
      <c r="F69" t="s">
        <v>23</v>
      </c>
      <c r="G69" t="str">
        <f t="shared" si="36"/>
        <v>2 semanas</v>
      </c>
      <c r="H69">
        <v>0</v>
      </c>
      <c r="I69">
        <v>15.006500000000001</v>
      </c>
      <c r="J69">
        <v>15.063599999999999</v>
      </c>
      <c r="K69">
        <v>1</v>
      </c>
      <c r="L69" t="s">
        <v>24</v>
      </c>
      <c r="M69" t="s">
        <v>25</v>
      </c>
      <c r="N69" t="s">
        <v>31</v>
      </c>
    </row>
    <row r="70" spans="1:17" x14ac:dyDescent="0.25">
      <c r="A70">
        <v>25</v>
      </c>
      <c r="B70" s="2">
        <v>45657</v>
      </c>
      <c r="C70" s="2">
        <v>45673</v>
      </c>
      <c r="D70" t="s">
        <v>27</v>
      </c>
      <c r="E70">
        <f t="shared" si="35"/>
        <v>16</v>
      </c>
      <c r="F70" t="s">
        <v>23</v>
      </c>
      <c r="G70" t="str">
        <f t="shared" si="36"/>
        <v>2 semanas</v>
      </c>
      <c r="H70">
        <v>0</v>
      </c>
      <c r="I70">
        <v>15.0061</v>
      </c>
      <c r="J70">
        <v>15.0632</v>
      </c>
      <c r="K70">
        <v>1</v>
      </c>
      <c r="L70" t="s">
        <v>29</v>
      </c>
      <c r="M70" t="s">
        <v>25</v>
      </c>
      <c r="N70" t="s">
        <v>31</v>
      </c>
    </row>
    <row r="71" spans="1:17" x14ac:dyDescent="0.25">
      <c r="A71">
        <v>25</v>
      </c>
      <c r="B71" s="2">
        <v>45496</v>
      </c>
      <c r="C71" s="2">
        <v>45673</v>
      </c>
      <c r="D71" t="s">
        <v>22</v>
      </c>
      <c r="E71">
        <f t="shared" si="35"/>
        <v>177</v>
      </c>
      <c r="F71" t="s">
        <v>23</v>
      </c>
      <c r="G71" t="str">
        <f t="shared" si="36"/>
        <v>Semestral</v>
      </c>
      <c r="H71">
        <v>14.513</v>
      </c>
      <c r="I71">
        <v>14.608599999999999</v>
      </c>
      <c r="J71">
        <v>14.3581</v>
      </c>
      <c r="K71">
        <v>5</v>
      </c>
      <c r="L71" t="s">
        <v>24</v>
      </c>
      <c r="M71" t="s">
        <v>25</v>
      </c>
      <c r="N71" t="s">
        <v>31</v>
      </c>
    </row>
    <row r="72" spans="1:17" x14ac:dyDescent="0.25">
      <c r="A72">
        <v>26</v>
      </c>
      <c r="B72" s="2">
        <v>45496</v>
      </c>
      <c r="C72" s="2">
        <v>45678</v>
      </c>
      <c r="D72" t="s">
        <v>27</v>
      </c>
      <c r="E72">
        <f t="shared" si="35"/>
        <v>182</v>
      </c>
      <c r="F72" t="s">
        <v>23</v>
      </c>
      <c r="G72" t="str">
        <f t="shared" si="36"/>
        <v>Semestral</v>
      </c>
      <c r="H72">
        <v>14.512</v>
      </c>
      <c r="I72">
        <v>14.606400000000001</v>
      </c>
      <c r="J72">
        <v>14.3576</v>
      </c>
      <c r="K72">
        <v>5</v>
      </c>
      <c r="L72" t="s">
        <v>24</v>
      </c>
      <c r="M72" t="s">
        <v>25</v>
      </c>
      <c r="N72" t="s">
        <v>31</v>
      </c>
    </row>
    <row r="73" spans="1:17" x14ac:dyDescent="0.25">
      <c r="A73">
        <v>26</v>
      </c>
      <c r="B73" s="2">
        <v>45496</v>
      </c>
      <c r="C73" s="2">
        <v>45678</v>
      </c>
      <c r="D73" t="s">
        <v>27</v>
      </c>
      <c r="E73">
        <f t="shared" si="35"/>
        <v>182</v>
      </c>
      <c r="F73" t="s">
        <v>23</v>
      </c>
      <c r="G73" t="str">
        <f t="shared" si="36"/>
        <v>Semestral</v>
      </c>
      <c r="H73">
        <v>14.508900000000001</v>
      </c>
      <c r="I73">
        <v>14.601599999999999</v>
      </c>
      <c r="J73">
        <v>14.3537</v>
      </c>
      <c r="K73">
        <v>5</v>
      </c>
      <c r="L73" t="s">
        <v>29</v>
      </c>
      <c r="M73" t="s">
        <v>25</v>
      </c>
      <c r="N73" t="s">
        <v>31</v>
      </c>
    </row>
    <row r="74" spans="1:17" x14ac:dyDescent="0.25">
      <c r="A74">
        <v>27</v>
      </c>
      <c r="B74" s="2">
        <f>C70</f>
        <v>45673</v>
      </c>
      <c r="C74" s="2">
        <v>45692</v>
      </c>
      <c r="D74" t="s">
        <v>22</v>
      </c>
      <c r="E74">
        <f t="shared" si="35"/>
        <v>19</v>
      </c>
      <c r="F74" t="s">
        <v>23</v>
      </c>
      <c r="G74" t="str">
        <f t="shared" si="36"/>
        <v>Mensual</v>
      </c>
      <c r="H74">
        <v>15.0746</v>
      </c>
      <c r="I74">
        <v>14.7906</v>
      </c>
      <c r="J74">
        <v>15.2082</v>
      </c>
      <c r="K74">
        <v>1</v>
      </c>
      <c r="L74" t="s">
        <v>24</v>
      </c>
      <c r="M74" t="s">
        <v>25</v>
      </c>
      <c r="N74" t="s">
        <v>31</v>
      </c>
    </row>
    <row r="75" spans="1:17" x14ac:dyDescent="0.25">
      <c r="A75">
        <v>27</v>
      </c>
      <c r="B75" s="2">
        <f t="shared" ref="B75" si="37">C71</f>
        <v>45673</v>
      </c>
      <c r="C75" s="2">
        <v>45699</v>
      </c>
      <c r="D75" t="s">
        <v>27</v>
      </c>
      <c r="E75">
        <f t="shared" si="35"/>
        <v>26</v>
      </c>
      <c r="F75" t="s">
        <v>23</v>
      </c>
      <c r="G75" t="str">
        <f t="shared" si="36"/>
        <v>Mensual</v>
      </c>
      <c r="H75">
        <v>15.074400000000001</v>
      </c>
      <c r="I75">
        <v>14.790100000000001</v>
      </c>
      <c r="J75">
        <v>15.2079</v>
      </c>
      <c r="K75">
        <v>1</v>
      </c>
      <c r="L75" t="s">
        <v>24</v>
      </c>
      <c r="M75" t="s">
        <v>25</v>
      </c>
      <c r="N75" t="s">
        <v>28</v>
      </c>
    </row>
    <row r="76" spans="1:17" x14ac:dyDescent="0.25">
      <c r="A76">
        <v>27</v>
      </c>
      <c r="B76" s="2">
        <f>C71</f>
        <v>45673</v>
      </c>
      <c r="C76" s="2">
        <v>45699</v>
      </c>
      <c r="D76" t="s">
        <v>27</v>
      </c>
      <c r="E76">
        <f t="shared" si="35"/>
        <v>26</v>
      </c>
      <c r="F76" t="s">
        <v>23</v>
      </c>
      <c r="G76" t="str">
        <f t="shared" si="36"/>
        <v>Mensual</v>
      </c>
      <c r="H76">
        <v>15.071199999999999</v>
      </c>
      <c r="I76">
        <v>14.7865</v>
      </c>
      <c r="J76">
        <v>15.205299999999999</v>
      </c>
      <c r="K76">
        <v>1</v>
      </c>
      <c r="L76" t="s">
        <v>29</v>
      </c>
      <c r="M76" t="s">
        <v>25</v>
      </c>
      <c r="N76" t="s">
        <v>28</v>
      </c>
    </row>
    <row r="77" spans="1:17" x14ac:dyDescent="0.25">
      <c r="B77" s="2">
        <f>C47</f>
        <v>45615</v>
      </c>
      <c r="C77" s="2">
        <v>45706</v>
      </c>
      <c r="D77" t="s">
        <v>22</v>
      </c>
      <c r="E77">
        <f t="shared" si="35"/>
        <v>91</v>
      </c>
      <c r="F77" t="s">
        <v>23</v>
      </c>
      <c r="G77" t="str">
        <f t="shared" si="36"/>
        <v>Trimestral</v>
      </c>
      <c r="H77">
        <v>15.061199999999999</v>
      </c>
      <c r="I77">
        <v>0</v>
      </c>
      <c r="J77">
        <v>14.533899999999999</v>
      </c>
      <c r="K77">
        <v>4</v>
      </c>
      <c r="L77" t="s">
        <v>24</v>
      </c>
      <c r="M77" t="s">
        <v>25</v>
      </c>
      <c r="N77" t="s">
        <v>28</v>
      </c>
    </row>
    <row r="78" spans="1:17" x14ac:dyDescent="0.25">
      <c r="B78" s="2">
        <v>45615</v>
      </c>
      <c r="C78" s="2">
        <v>45713</v>
      </c>
      <c r="D78" t="s">
        <v>27</v>
      </c>
      <c r="E78">
        <f t="shared" si="35"/>
        <v>98</v>
      </c>
      <c r="F78" t="s">
        <v>23</v>
      </c>
      <c r="G78" t="str">
        <f t="shared" si="36"/>
        <v>Trimestral</v>
      </c>
      <c r="H78">
        <v>15.0608</v>
      </c>
      <c r="I78">
        <v>0</v>
      </c>
      <c r="J78">
        <v>14.5337</v>
      </c>
      <c r="K78">
        <v>4</v>
      </c>
      <c r="L78" t="s">
        <v>24</v>
      </c>
      <c r="M78" t="s">
        <v>25</v>
      </c>
      <c r="N78" t="s">
        <v>28</v>
      </c>
    </row>
    <row r="79" spans="1:17" x14ac:dyDescent="0.25">
      <c r="B79" s="2">
        <v>45615</v>
      </c>
      <c r="C79" s="2">
        <v>45713</v>
      </c>
      <c r="D79" t="s">
        <v>27</v>
      </c>
      <c r="E79">
        <f t="shared" si="35"/>
        <v>98</v>
      </c>
      <c r="F79" t="s">
        <v>23</v>
      </c>
      <c r="G79" t="str">
        <f t="shared" si="36"/>
        <v>Trimestral</v>
      </c>
      <c r="H79">
        <v>15.055899999999999</v>
      </c>
      <c r="I79">
        <v>0</v>
      </c>
      <c r="J79">
        <v>14.5296</v>
      </c>
      <c r="K79">
        <v>4</v>
      </c>
      <c r="L79" t="s">
        <v>29</v>
      </c>
      <c r="M79" t="s">
        <v>25</v>
      </c>
      <c r="N79" t="s">
        <v>28</v>
      </c>
    </row>
    <row r="80" spans="1:17" x14ac:dyDescent="0.25">
      <c r="B80" s="2">
        <f>C35</f>
        <v>45587</v>
      </c>
      <c r="C80" s="2">
        <v>45713</v>
      </c>
      <c r="D80" t="s">
        <v>22</v>
      </c>
      <c r="E80">
        <f t="shared" si="35"/>
        <v>126</v>
      </c>
      <c r="F80" t="s">
        <v>23</v>
      </c>
      <c r="G80" t="str">
        <f t="shared" si="36"/>
        <v>Cuatrimestral</v>
      </c>
      <c r="H80">
        <v>14.9049</v>
      </c>
      <c r="I80">
        <v>14.647399999999999</v>
      </c>
      <c r="J80">
        <v>14.9255</v>
      </c>
      <c r="K80">
        <v>3</v>
      </c>
      <c r="L80" t="s">
        <v>24</v>
      </c>
      <c r="M80" t="s">
        <v>25</v>
      </c>
      <c r="N80" t="s">
        <v>28</v>
      </c>
      <c r="Q80">
        <f>J83-J85</f>
        <v>9.9000000000000199E-3</v>
      </c>
    </row>
    <row r="81" spans="2:15" x14ac:dyDescent="0.25">
      <c r="B81" s="2">
        <f>C35</f>
        <v>45587</v>
      </c>
      <c r="C81" s="2">
        <v>45720</v>
      </c>
      <c r="D81" t="s">
        <v>27</v>
      </c>
      <c r="E81">
        <f t="shared" si="35"/>
        <v>133</v>
      </c>
      <c r="F81" t="s">
        <v>23</v>
      </c>
      <c r="G81" t="str">
        <f t="shared" si="36"/>
        <v>Cuatrimestral</v>
      </c>
      <c r="H81">
        <v>14.9034</v>
      </c>
      <c r="I81">
        <v>14.646100000000001</v>
      </c>
      <c r="J81">
        <v>14.9245</v>
      </c>
      <c r="K81">
        <v>3</v>
      </c>
      <c r="L81" t="s">
        <v>24</v>
      </c>
      <c r="M81" t="s">
        <v>25</v>
      </c>
      <c r="N81" t="s">
        <v>31</v>
      </c>
    </row>
    <row r="82" spans="2:15" x14ac:dyDescent="0.25">
      <c r="B82" s="2">
        <f>C35</f>
        <v>45587</v>
      </c>
      <c r="C82" s="2">
        <v>45720</v>
      </c>
      <c r="D82" t="s">
        <v>27</v>
      </c>
      <c r="E82">
        <f t="shared" si="35"/>
        <v>133</v>
      </c>
      <c r="F82" t="s">
        <v>23</v>
      </c>
      <c r="G82" t="str">
        <f t="shared" si="36"/>
        <v>Cuatrimestral</v>
      </c>
      <c r="H82">
        <v>14.896100000000001</v>
      </c>
      <c r="I82">
        <v>14.6386</v>
      </c>
      <c r="J82">
        <v>14.9198</v>
      </c>
      <c r="K82">
        <v>3</v>
      </c>
      <c r="L82" t="s">
        <v>29</v>
      </c>
      <c r="M82" t="s">
        <v>25</v>
      </c>
      <c r="N82" t="s">
        <v>31</v>
      </c>
    </row>
    <row r="83" spans="2:15" x14ac:dyDescent="0.25">
      <c r="B83" s="2">
        <v>45531</v>
      </c>
      <c r="C83" s="2">
        <v>45720</v>
      </c>
      <c r="D83" t="s">
        <v>22</v>
      </c>
      <c r="E83">
        <f t="shared" si="35"/>
        <v>189</v>
      </c>
      <c r="F83" t="s">
        <v>23</v>
      </c>
      <c r="G83" t="str">
        <f t="shared" si="36"/>
        <v>Semestral</v>
      </c>
      <c r="H83">
        <v>14.4793</v>
      </c>
      <c r="I83">
        <v>14.854200000000001</v>
      </c>
      <c r="J83">
        <v>15.512700000000001</v>
      </c>
      <c r="K83">
        <v>2</v>
      </c>
      <c r="L83" t="s">
        <v>24</v>
      </c>
      <c r="M83" t="s">
        <v>25</v>
      </c>
      <c r="N83" t="s">
        <v>31</v>
      </c>
    </row>
    <row r="84" spans="2:15" x14ac:dyDescent="0.25">
      <c r="B84" s="2">
        <v>45531</v>
      </c>
      <c r="C84" s="2">
        <v>45727</v>
      </c>
      <c r="D84" t="s">
        <v>27</v>
      </c>
      <c r="E84">
        <f t="shared" si="35"/>
        <v>196</v>
      </c>
      <c r="F84" t="s">
        <v>23</v>
      </c>
      <c r="G84" t="str">
        <f t="shared" si="36"/>
        <v>Semestral</v>
      </c>
      <c r="H84">
        <v>14.478999999999999</v>
      </c>
      <c r="I84">
        <v>14.8537</v>
      </c>
      <c r="J84">
        <v>15.5114</v>
      </c>
      <c r="K84">
        <v>2</v>
      </c>
      <c r="L84" t="s">
        <v>24</v>
      </c>
    </row>
    <row r="85" spans="2:15" x14ac:dyDescent="0.25">
      <c r="B85" s="2">
        <v>45531</v>
      </c>
      <c r="C85" s="2">
        <v>45727</v>
      </c>
      <c r="D85" t="s">
        <v>27</v>
      </c>
      <c r="E85">
        <f t="shared" si="35"/>
        <v>196</v>
      </c>
      <c r="F85" t="s">
        <v>23</v>
      </c>
      <c r="G85" t="str">
        <f t="shared" si="36"/>
        <v>Semestral</v>
      </c>
      <c r="H85">
        <v>14.4734</v>
      </c>
      <c r="I85">
        <v>14.846500000000001</v>
      </c>
      <c r="J85">
        <v>15.502800000000001</v>
      </c>
      <c r="K85">
        <v>2</v>
      </c>
      <c r="L85" t="s">
        <v>29</v>
      </c>
    </row>
    <row r="86" spans="2:15" x14ac:dyDescent="0.25">
      <c r="B86" s="2">
        <f>C83</f>
        <v>45720</v>
      </c>
      <c r="C86" s="2">
        <v>45727</v>
      </c>
      <c r="D86" t="s">
        <v>22</v>
      </c>
      <c r="E86">
        <f t="shared" si="35"/>
        <v>7</v>
      </c>
      <c r="F86" t="s">
        <v>23</v>
      </c>
      <c r="G86" t="str">
        <f t="shared" si="36"/>
        <v>semanal</v>
      </c>
      <c r="H86">
        <v>14.896800000000001</v>
      </c>
      <c r="I86">
        <v>14.639099999999999</v>
      </c>
      <c r="J86">
        <v>14.9207</v>
      </c>
      <c r="K86">
        <v>1</v>
      </c>
      <c r="L86" t="s">
        <v>24</v>
      </c>
      <c r="O86" t="s">
        <v>45</v>
      </c>
    </row>
    <row r="87" spans="2:15" x14ac:dyDescent="0.25">
      <c r="B87" s="2">
        <f>C83</f>
        <v>45720</v>
      </c>
      <c r="C87" s="2">
        <v>45755</v>
      </c>
      <c r="D87" t="s">
        <v>27</v>
      </c>
      <c r="E87">
        <f t="shared" si="35"/>
        <v>35</v>
      </c>
      <c r="F87" t="s">
        <v>23</v>
      </c>
      <c r="G87" t="str">
        <f t="shared" si="36"/>
        <v>Mensual</v>
      </c>
      <c r="H87">
        <v>14.8973</v>
      </c>
      <c r="I87">
        <v>14.639900000000001</v>
      </c>
      <c r="J87">
        <v>14.9213</v>
      </c>
      <c r="K87">
        <v>1</v>
      </c>
      <c r="L87" t="s">
        <v>24</v>
      </c>
    </row>
    <row r="88" spans="2:15" x14ac:dyDescent="0.25">
      <c r="B88" s="2">
        <f>C82</f>
        <v>45720</v>
      </c>
      <c r="C88" s="2">
        <v>45755</v>
      </c>
      <c r="D88" t="s">
        <v>27</v>
      </c>
      <c r="E88">
        <f t="shared" si="35"/>
        <v>35</v>
      </c>
      <c r="F88" t="s">
        <v>23</v>
      </c>
      <c r="G88" t="str">
        <f t="shared" si="36"/>
        <v>Mensual</v>
      </c>
      <c r="H88">
        <v>14.895899999999999</v>
      </c>
      <c r="I88">
        <v>14.638400000000001</v>
      </c>
      <c r="J88">
        <v>14.920199999999999</v>
      </c>
      <c r="K88">
        <v>1</v>
      </c>
      <c r="L88" t="s">
        <v>29</v>
      </c>
    </row>
    <row r="89" spans="2:15" x14ac:dyDescent="0.25">
      <c r="B89" s="2">
        <v>45727</v>
      </c>
      <c r="C89" s="2">
        <v>45755</v>
      </c>
      <c r="D89" t="s">
        <v>22</v>
      </c>
      <c r="E89">
        <f t="shared" si="35"/>
        <v>28</v>
      </c>
      <c r="F89" t="s">
        <v>23</v>
      </c>
      <c r="G89" t="str">
        <f t="shared" si="36"/>
        <v>Mensual</v>
      </c>
      <c r="H89">
        <v>14.475099999999999</v>
      </c>
      <c r="I89">
        <v>14.848000000000001</v>
      </c>
      <c r="J89">
        <v>15.5039</v>
      </c>
      <c r="K89">
        <v>1</v>
      </c>
      <c r="L89" t="s">
        <v>24</v>
      </c>
    </row>
    <row r="90" spans="2:15" x14ac:dyDescent="0.25">
      <c r="B90" s="2">
        <v>45727</v>
      </c>
      <c r="C90" s="2">
        <v>45761</v>
      </c>
      <c r="D90" t="s">
        <v>27</v>
      </c>
      <c r="E90">
        <f t="shared" si="35"/>
        <v>34</v>
      </c>
      <c r="F90" t="s">
        <v>23</v>
      </c>
      <c r="G90" t="str">
        <f t="shared" si="36"/>
        <v>Mensual</v>
      </c>
      <c r="H90">
        <v>14.4748</v>
      </c>
      <c r="I90">
        <v>14.848000000000001</v>
      </c>
      <c r="J90">
        <v>15.5038</v>
      </c>
      <c r="K90">
        <v>1</v>
      </c>
      <c r="L90" t="s">
        <v>24</v>
      </c>
    </row>
    <row r="91" spans="2:15" x14ac:dyDescent="0.25">
      <c r="B91" s="2">
        <v>45727</v>
      </c>
      <c r="C91" s="2">
        <v>45761</v>
      </c>
      <c r="D91" t="s">
        <v>27</v>
      </c>
      <c r="E91">
        <f t="shared" si="35"/>
        <v>34</v>
      </c>
      <c r="F91" t="s">
        <v>23</v>
      </c>
      <c r="G91" t="str">
        <f t="shared" si="36"/>
        <v>Mensual</v>
      </c>
      <c r="H91">
        <v>14.4735</v>
      </c>
      <c r="I91">
        <v>14.8462</v>
      </c>
      <c r="J91">
        <v>15.5021</v>
      </c>
      <c r="K91">
        <v>1</v>
      </c>
      <c r="L91" t="s">
        <v>29</v>
      </c>
    </row>
    <row r="92" spans="2:15" x14ac:dyDescent="0.25">
      <c r="B92" s="2">
        <v>45755</v>
      </c>
      <c r="C92" s="2">
        <v>45761</v>
      </c>
      <c r="D92" t="s">
        <v>22</v>
      </c>
      <c r="E92">
        <f t="shared" si="35"/>
        <v>6</v>
      </c>
      <c r="F92" t="s">
        <v>23</v>
      </c>
      <c r="G92" t="str">
        <f t="shared" si="36"/>
        <v>semanal</v>
      </c>
      <c r="H92">
        <v>14.896100000000001</v>
      </c>
      <c r="I92">
        <v>14.6387</v>
      </c>
      <c r="J92">
        <v>14.920199999999999</v>
      </c>
      <c r="K92">
        <v>1</v>
      </c>
      <c r="L92" t="s">
        <v>24</v>
      </c>
    </row>
    <row r="93" spans="2:15" x14ac:dyDescent="0.25">
      <c r="B93" s="2">
        <v>45755</v>
      </c>
      <c r="C93" s="2">
        <v>45790</v>
      </c>
      <c r="D93" t="s">
        <v>27</v>
      </c>
      <c r="E93">
        <f t="shared" si="35"/>
        <v>35</v>
      </c>
      <c r="F93" t="s">
        <v>23</v>
      </c>
      <c r="G93" t="str">
        <f t="shared" si="36"/>
        <v>Mensual</v>
      </c>
      <c r="H93">
        <v>14.8969</v>
      </c>
      <c r="I93">
        <v>14.6396</v>
      </c>
      <c r="J93">
        <v>14.9208</v>
      </c>
      <c r="K93">
        <v>1</v>
      </c>
      <c r="L93" t="s">
        <v>24</v>
      </c>
    </row>
    <row r="94" spans="2:15" x14ac:dyDescent="0.25">
      <c r="B94" s="2">
        <v>45755</v>
      </c>
      <c r="C94" s="2">
        <v>45790</v>
      </c>
      <c r="D94" t="s">
        <v>27</v>
      </c>
      <c r="E94">
        <f t="shared" si="35"/>
        <v>35</v>
      </c>
      <c r="F94" t="s">
        <v>23</v>
      </c>
      <c r="G94" t="str">
        <f t="shared" si="36"/>
        <v>Mensual</v>
      </c>
      <c r="H94">
        <v>14.895899999999999</v>
      </c>
      <c r="I94">
        <v>14.638299999999999</v>
      </c>
      <c r="J94">
        <v>14.919600000000001</v>
      </c>
      <c r="K94">
        <v>1</v>
      </c>
      <c r="L94" t="s">
        <v>29</v>
      </c>
    </row>
    <row r="95" spans="2:15" x14ac:dyDescent="0.25">
      <c r="B95" s="2">
        <f>C73</f>
        <v>45678</v>
      </c>
      <c r="C95" s="2">
        <v>45790</v>
      </c>
      <c r="D95" t="s">
        <v>22</v>
      </c>
      <c r="E95">
        <f t="shared" si="35"/>
        <v>112</v>
      </c>
      <c r="F95" t="s">
        <v>23</v>
      </c>
      <c r="G95" t="str">
        <f t="shared" si="36"/>
        <v>Cuatrimestral</v>
      </c>
      <c r="H95">
        <v>0</v>
      </c>
      <c r="I95">
        <v>15.0146</v>
      </c>
      <c r="J95">
        <v>15.0725</v>
      </c>
      <c r="K95">
        <v>5</v>
      </c>
      <c r="L95" t="s">
        <v>24</v>
      </c>
    </row>
    <row r="96" spans="2:15" x14ac:dyDescent="0.25">
      <c r="B96" s="2">
        <v>45678</v>
      </c>
      <c r="C96" s="2">
        <v>45797</v>
      </c>
      <c r="D96" t="s">
        <v>27</v>
      </c>
      <c r="E96">
        <f t="shared" si="35"/>
        <v>119</v>
      </c>
      <c r="F96" t="s">
        <v>23</v>
      </c>
      <c r="G96" t="str">
        <f t="shared" si="36"/>
        <v>Cuatrimestral</v>
      </c>
      <c r="H96">
        <v>0</v>
      </c>
      <c r="I96">
        <v>15.0144</v>
      </c>
      <c r="J96">
        <v>15.0722</v>
      </c>
      <c r="K96">
        <v>5</v>
      </c>
      <c r="L96" t="s">
        <v>24</v>
      </c>
    </row>
    <row r="97" spans="2:17" x14ac:dyDescent="0.25">
      <c r="B97" s="2">
        <v>45678</v>
      </c>
      <c r="C97" s="2">
        <v>45797</v>
      </c>
      <c r="D97" t="s">
        <v>27</v>
      </c>
      <c r="E97">
        <f t="shared" si="35"/>
        <v>119</v>
      </c>
      <c r="F97" t="s">
        <v>23</v>
      </c>
      <c r="G97" t="str">
        <f t="shared" si="36"/>
        <v>Cuatrimestral</v>
      </c>
      <c r="H97">
        <v>0</v>
      </c>
      <c r="I97">
        <v>15.006</v>
      </c>
      <c r="J97">
        <v>15.062900000000001</v>
      </c>
      <c r="K97">
        <v>5</v>
      </c>
      <c r="L97" t="s">
        <v>29</v>
      </c>
    </row>
    <row r="98" spans="2:17" x14ac:dyDescent="0.25">
      <c r="B98" s="2">
        <f>C7</f>
        <v>45517</v>
      </c>
      <c r="C98" s="2">
        <f>C7+357</f>
        <v>45874</v>
      </c>
      <c r="D98" t="s">
        <v>22</v>
      </c>
      <c r="E98">
        <f>C98-B98</f>
        <v>357</v>
      </c>
      <c r="F98" t="s">
        <v>23</v>
      </c>
      <c r="G98" t="str">
        <f>IF(E98&lt;=10,"semanal",IF(E98&lt;=16,"2 semanas",IF(E98&lt;=35,"Mensual",IF(E98&lt;=98,"Trimestral",IF(E98&lt;=133,"Cuatrimestral",IF(E98&lt;=197,"Semestral",IF(E98&lt;= 220, "7 meses",IF(E98&lt;=277,"9 meses",IF(E98&lt;=372,"1 año")))))))))</f>
        <v>1 año</v>
      </c>
      <c r="H98">
        <v>15.301399999999999</v>
      </c>
      <c r="I98">
        <v>14.845800000000001</v>
      </c>
      <c r="J98">
        <v>15.058</v>
      </c>
      <c r="K98">
        <v>6</v>
      </c>
      <c r="L98" t="s">
        <v>24</v>
      </c>
      <c r="O98">
        <f>1000*(Tabla2[[#This Row],[Masa A]]-H100)</f>
        <v>13.599999999998502</v>
      </c>
      <c r="P98">
        <f>Tabla2[[#This Row],[Masa B]]-I100</f>
        <v>1.5299999999999869E-2</v>
      </c>
      <c r="Q98">
        <f>Tabla2[[#This Row],[Masa C]]-J100</f>
        <v>1.2299999999999756E-2</v>
      </c>
    </row>
    <row r="99" spans="2:17" x14ac:dyDescent="0.25">
      <c r="B99" s="2">
        <f>C8</f>
        <v>45517</v>
      </c>
      <c r="C99" s="2">
        <f>C98+7</f>
        <v>45881</v>
      </c>
      <c r="D99" t="s">
        <v>27</v>
      </c>
      <c r="E99">
        <f>C99-B99</f>
        <v>364</v>
      </c>
      <c r="F99" t="s">
        <v>23</v>
      </c>
      <c r="G99" t="str">
        <f>IF(E99&lt;=10,"semanal",IF(E99&lt;=16,"2 semanas",IF(E99&lt;=35,"Mensual",IF(E99&lt;=98,"Trimestral",IF(E99&lt;=133,"Cuatrimestral",IF(E99&lt;=197,"Semestral",IF(E99&lt;= 220, "7 meses",IF(E99&lt;=277,"9 meses",IF(E99&lt;=372,"1 año")))))))))</f>
        <v>1 año</v>
      </c>
      <c r="H99">
        <v>15.301</v>
      </c>
      <c r="I99">
        <v>14.8446</v>
      </c>
      <c r="J99">
        <v>15.058</v>
      </c>
      <c r="K99">
        <v>6</v>
      </c>
      <c r="L99" t="s">
        <v>24</v>
      </c>
    </row>
    <row r="100" spans="2:17" x14ac:dyDescent="0.25">
      <c r="B100" s="2">
        <v>45517</v>
      </c>
      <c r="C100" s="2">
        <f>C98+7</f>
        <v>45881</v>
      </c>
      <c r="D100" t="s">
        <v>27</v>
      </c>
      <c r="E100">
        <f>C100-B100</f>
        <v>364</v>
      </c>
      <c r="F100" t="s">
        <v>23</v>
      </c>
      <c r="G100" t="str">
        <f>IF(E100&lt;=10,"semanal",IF(E100&lt;=16,"2 semanas",IF(E100&lt;=35,"Mensual",IF(E100&lt;=98,"Trimestral",IF(E100&lt;=133,"Cuatrimestral",IF(E100&lt;=197,"Semestral",IF(E100&lt;= 220, "7 meses",IF(E100&lt;=277,"9 meses",IF(E100&lt;=372,"1 año")))))))))</f>
        <v>1 año</v>
      </c>
      <c r="H100">
        <v>15.287800000000001</v>
      </c>
      <c r="I100">
        <v>14.830500000000001</v>
      </c>
      <c r="J100">
        <v>15.0457</v>
      </c>
      <c r="K100">
        <f t="shared" ref="I100:L100" si="38">K7</f>
        <v>6</v>
      </c>
      <c r="L100" t="str">
        <f t="shared" si="38"/>
        <v>clean</v>
      </c>
    </row>
    <row r="101" spans="2:17" x14ac:dyDescent="0.25">
      <c r="B101" s="2">
        <f>C97</f>
        <v>45797</v>
      </c>
      <c r="C101" s="2">
        <v>45839</v>
      </c>
      <c r="D101" t="s">
        <v>27</v>
      </c>
      <c r="E101">
        <f t="shared" ref="E101:E102" si="39">C101-B101</f>
        <v>42</v>
      </c>
      <c r="F101" t="s">
        <v>23</v>
      </c>
      <c r="G101" t="str">
        <f>IF(E101&lt;=10,"semanal",IF(E101&lt;=16,"2 semanas",IF(E101&lt;=35,"Mensual",IF(E101&lt;=60,"2 Meses",IF(E101&lt;=98,"Trimestral",IF(E101&lt;=133,"Cuatrimestral",IF(E101&lt;=197,"Semestral",IF(E101&lt;= 220, "7 meses",IF(E101&lt;=277,"9 meses",IF(E101&lt;=372,"1 año"))))))))))</f>
        <v>2 Meses</v>
      </c>
      <c r="H101">
        <v>0</v>
      </c>
      <c r="I101">
        <v>15.006399999999999</v>
      </c>
      <c r="J101">
        <v>15.063800000000001</v>
      </c>
      <c r="K101">
        <v>5</v>
      </c>
      <c r="L101" t="s">
        <v>24</v>
      </c>
    </row>
    <row r="102" spans="2:17" x14ac:dyDescent="0.25">
      <c r="B102" s="2">
        <v>45678</v>
      </c>
      <c r="C102" s="2">
        <v>45797</v>
      </c>
      <c r="D102" t="s">
        <v>27</v>
      </c>
      <c r="E102">
        <f t="shared" si="39"/>
        <v>119</v>
      </c>
      <c r="F102" t="s">
        <v>23</v>
      </c>
      <c r="G102" t="str">
        <f t="shared" ref="G102" si="40">IF(E102&lt;=10,"semanal",IF(E102&lt;=16,"2 semanas",IF(E102&lt;=35,"Mensual",IF(E102&lt;=60,"2 Meses",IF(E102&lt;=98,"Trimestral",IF(E102&lt;=133,"Cuatrimestral",IF(E102&lt;=197,"Semestral",IF(E102&lt;= 220, "7 meses",IF(E102&lt;=277,"9 meses",IF(E102&lt;=372,"1 año"))))))))))</f>
        <v>Cuatrimestral</v>
      </c>
      <c r="H102">
        <v>0</v>
      </c>
      <c r="I102">
        <v>15.006</v>
      </c>
      <c r="J102">
        <v>15.062900000000001</v>
      </c>
      <c r="K102">
        <v>5</v>
      </c>
      <c r="L102" t="s">
        <v>29</v>
      </c>
    </row>
    <row r="103" spans="2:17" x14ac:dyDescent="0.25">
      <c r="B103" s="2">
        <f>B101</f>
        <v>45797</v>
      </c>
      <c r="C103" s="2">
        <v>45874</v>
      </c>
      <c r="D103" t="s">
        <v>27</v>
      </c>
      <c r="E103">
        <f t="shared" ref="E103" si="41">C103-B103</f>
        <v>77</v>
      </c>
      <c r="F103" t="s">
        <v>23</v>
      </c>
      <c r="G103" t="str">
        <f t="shared" ref="G103" si="42">IF(E103&lt;=10,"semanal",IF(E103&lt;=16,"2 semanas",IF(E103&lt;=35,"Mensual",IF(E103&lt;=60,"2 Meses",IF(E103&lt;=98,"Trimestral",IF(E103&lt;=133,"Cuatrimestral",IF(E103&lt;=197,"Semestral",IF(E103&lt;= 220, "7 meses",IF(E103&lt;=277,"9 meses",IF(E103&lt;=372,"1 año"))))))))))</f>
        <v>Trimestral</v>
      </c>
      <c r="H103">
        <v>0</v>
      </c>
      <c r="I103">
        <v>15.006500000000001</v>
      </c>
      <c r="J103">
        <v>15.0641</v>
      </c>
      <c r="K103">
        <v>5</v>
      </c>
      <c r="L103" t="s">
        <v>24</v>
      </c>
    </row>
    <row r="104" spans="2:17" x14ac:dyDescent="0.25">
      <c r="B104" s="2">
        <f>B103</f>
        <v>45797</v>
      </c>
      <c r="C104" s="2">
        <v>45874</v>
      </c>
      <c r="D104" t="s">
        <v>27</v>
      </c>
      <c r="E104">
        <f t="shared" ref="E104" si="43">C104-B104</f>
        <v>77</v>
      </c>
      <c r="F104" t="s">
        <v>23</v>
      </c>
      <c r="G104" t="str">
        <f t="shared" ref="G104" si="44">IF(E104&lt;=10,"semanal",IF(E104&lt;=16,"2 semanas",IF(E104&lt;=35,"Mensual",IF(E104&lt;=60,"2 Meses",IF(E104&lt;=98,"Trimestral",IF(E104&lt;=133,"Cuatrimestral",IF(E104&lt;=197,"Semestral",IF(E104&lt;= 220, "7 meses",IF(E104&lt;=277,"9 meses",IF(E104&lt;=372,"1 año"))))))))))</f>
        <v>Trimestral</v>
      </c>
      <c r="H104">
        <v>0</v>
      </c>
      <c r="I104">
        <v>15.0055</v>
      </c>
      <c r="J104">
        <v>15.0626</v>
      </c>
      <c r="K104">
        <v>5</v>
      </c>
      <c r="L104" t="s">
        <v>29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CE08-4AD8-4011-BFC8-29EF9224AB37}">
  <dimension ref="A1"/>
  <sheetViews>
    <sheetView tabSelected="1" workbookViewId="0"/>
  </sheetViews>
  <sheetFormatPr baseColWidth="10" defaultRowHeight="14.3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0555-4AB5-4659-9A0A-C1CCB67E2236}">
  <dimension ref="A1:V47"/>
  <sheetViews>
    <sheetView topLeftCell="A2" workbookViewId="0">
      <selection activeCell="G24" sqref="G24"/>
    </sheetView>
  </sheetViews>
  <sheetFormatPr baseColWidth="10" defaultRowHeight="14.3" x14ac:dyDescent="0.25"/>
  <cols>
    <col min="1" max="1" width="13.75" bestFit="1" customWidth="1"/>
    <col min="8" max="8" width="12.125" bestFit="1" customWidth="1"/>
  </cols>
  <sheetData>
    <row r="1" spans="1:22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11</v>
      </c>
      <c r="G1" t="s">
        <v>14</v>
      </c>
    </row>
    <row r="2" spans="1:22" x14ac:dyDescent="0.25">
      <c r="A2" s="2">
        <v>45699</v>
      </c>
      <c r="E2">
        <v>1</v>
      </c>
      <c r="F2" t="s">
        <v>38</v>
      </c>
      <c r="G2" t="s">
        <v>41</v>
      </c>
    </row>
    <row r="3" spans="1:22" x14ac:dyDescent="0.25">
      <c r="A3" s="2">
        <v>45699</v>
      </c>
      <c r="E3">
        <v>1</v>
      </c>
      <c r="F3" t="s">
        <v>39</v>
      </c>
      <c r="G3" t="s">
        <v>40</v>
      </c>
    </row>
    <row r="4" spans="1:22" x14ac:dyDescent="0.25">
      <c r="A4" s="2"/>
    </row>
    <row r="5" spans="1:22" x14ac:dyDescent="0.25">
      <c r="A5" s="2">
        <v>45706</v>
      </c>
      <c r="E5">
        <v>4</v>
      </c>
      <c r="F5" t="s">
        <v>38</v>
      </c>
      <c r="G5" t="s">
        <v>42</v>
      </c>
    </row>
    <row r="6" spans="1:22" x14ac:dyDescent="0.25">
      <c r="A6" s="2">
        <v>45706</v>
      </c>
      <c r="E6">
        <v>4</v>
      </c>
      <c r="F6" t="s">
        <v>38</v>
      </c>
      <c r="G6" t="s">
        <v>41</v>
      </c>
    </row>
    <row r="7" spans="1:22" x14ac:dyDescent="0.25">
      <c r="A7" s="2">
        <v>45713</v>
      </c>
      <c r="E7">
        <v>4</v>
      </c>
      <c r="F7" t="s">
        <v>29</v>
      </c>
      <c r="G7" t="s">
        <v>40</v>
      </c>
    </row>
    <row r="8" spans="1:22" x14ac:dyDescent="0.25">
      <c r="A8" s="2">
        <v>45713</v>
      </c>
      <c r="E8">
        <v>3</v>
      </c>
      <c r="F8" t="s">
        <v>38</v>
      </c>
      <c r="G8" t="s">
        <v>43</v>
      </c>
    </row>
    <row r="10" spans="1:22" x14ac:dyDescent="0.25">
      <c r="A10" s="2">
        <v>45706</v>
      </c>
      <c r="B10" t="s">
        <v>44</v>
      </c>
    </row>
    <row r="14" spans="1:22" x14ac:dyDescent="0.2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6</v>
      </c>
      <c r="P14" s="7" t="s">
        <v>6</v>
      </c>
      <c r="Q14" s="7" t="s">
        <v>16</v>
      </c>
      <c r="R14" s="7" t="s">
        <v>17</v>
      </c>
      <c r="S14" s="7" t="s">
        <v>18</v>
      </c>
      <c r="T14" s="7" t="s">
        <v>19</v>
      </c>
      <c r="U14" s="7" t="s">
        <v>20</v>
      </c>
      <c r="V14" s="7" t="s">
        <v>21</v>
      </c>
    </row>
    <row r="15" spans="1:22" x14ac:dyDescent="0.25">
      <c r="A15">
        <v>1</v>
      </c>
      <c r="B15" s="4">
        <v>99.992151219831257</v>
      </c>
      <c r="C15" s="4">
        <v>99.998651445987036</v>
      </c>
      <c r="D15" s="4">
        <v>99.998006114581955</v>
      </c>
      <c r="E15" s="4">
        <v>100</v>
      </c>
      <c r="F15" s="4">
        <v>100</v>
      </c>
      <c r="G15" s="4">
        <v>99.998670734219957</v>
      </c>
      <c r="H15" t="s">
        <v>47</v>
      </c>
      <c r="P15" s="5" t="s">
        <v>47</v>
      </c>
      <c r="Q15" s="8">
        <v>99.992151219831257</v>
      </c>
      <c r="R15" s="8">
        <v>99.998651445987036</v>
      </c>
      <c r="S15" s="8">
        <v>99.998006114581955</v>
      </c>
      <c r="T15" s="8">
        <v>100</v>
      </c>
      <c r="U15" s="8">
        <v>100</v>
      </c>
      <c r="V15" s="8">
        <v>99.998670734219957</v>
      </c>
    </row>
    <row r="16" spans="1:22" x14ac:dyDescent="0.25">
      <c r="A16">
        <v>2</v>
      </c>
      <c r="B16" s="4">
        <v>99.995301761168392</v>
      </c>
      <c r="C16" s="4">
        <v>99.998633795793452</v>
      </c>
      <c r="D16" s="4">
        <v>99.997319735457907</v>
      </c>
      <c r="E16" s="4">
        <v>99.999328795994259</v>
      </c>
      <c r="F16" s="4">
        <v>99.999316893230414</v>
      </c>
      <c r="G16" s="4">
        <v>99.997319735457907</v>
      </c>
      <c r="H16" t="s">
        <v>47</v>
      </c>
      <c r="P16" s="6" t="s">
        <v>47</v>
      </c>
      <c r="Q16" s="9">
        <v>99.995301761168392</v>
      </c>
      <c r="R16" s="9">
        <v>99.998633795793452</v>
      </c>
      <c r="S16" s="9">
        <v>99.997319735457907</v>
      </c>
      <c r="T16" s="9">
        <v>99.999328795994259</v>
      </c>
      <c r="U16" s="9">
        <v>99.999316893230414</v>
      </c>
      <c r="V16" s="9">
        <v>99.997319735457907</v>
      </c>
    </row>
    <row r="17" spans="1:22" x14ac:dyDescent="0.25">
      <c r="A17">
        <v>6</v>
      </c>
      <c r="B17" s="4">
        <v>99.999328768962286</v>
      </c>
      <c r="C17" s="4">
        <v>99.998633786460829</v>
      </c>
      <c r="D17" s="4">
        <v>99.996649467265286</v>
      </c>
      <c r="E17" s="4">
        <v>99.998657546935519</v>
      </c>
      <c r="F17" s="4">
        <v>99.998633786460829</v>
      </c>
      <c r="G17" s="4">
        <v>99.995979387660739</v>
      </c>
      <c r="H17" t="s">
        <v>47</v>
      </c>
      <c r="P17" s="5" t="s">
        <v>47</v>
      </c>
      <c r="Q17" s="8">
        <v>99.999328768962286</v>
      </c>
      <c r="R17" s="8">
        <v>99.998633786460829</v>
      </c>
      <c r="S17" s="8">
        <v>99.996649467265286</v>
      </c>
      <c r="T17" s="8">
        <v>99.998657546935519</v>
      </c>
      <c r="U17" s="8">
        <v>99.998633786460829</v>
      </c>
      <c r="V17" s="8">
        <v>99.995979387660739</v>
      </c>
    </row>
    <row r="18" spans="1:22" x14ac:dyDescent="0.25">
      <c r="A18">
        <v>7</v>
      </c>
      <c r="B18" s="4">
        <v>99.99601511599333</v>
      </c>
      <c r="C18" s="4">
        <v>0</v>
      </c>
      <c r="D18" s="4">
        <v>99.995870640945355</v>
      </c>
      <c r="E18" s="4">
        <v>99.995350999535106</v>
      </c>
      <c r="F18" s="4">
        <v>0</v>
      </c>
      <c r="G18" s="4">
        <v>99.995182447591915</v>
      </c>
      <c r="H18" t="s">
        <v>47</v>
      </c>
      <c r="P18" s="6" t="s">
        <v>47</v>
      </c>
      <c r="Q18" s="9">
        <v>99.99601511599333</v>
      </c>
      <c r="R18" s="9">
        <v>0</v>
      </c>
      <c r="S18" s="9">
        <v>99.995870640945355</v>
      </c>
      <c r="T18" s="9">
        <v>99.995350999535106</v>
      </c>
      <c r="U18" s="9">
        <v>0</v>
      </c>
      <c r="V18" s="9">
        <v>99.995182447591915</v>
      </c>
    </row>
    <row r="19" spans="1:22" x14ac:dyDescent="0.25">
      <c r="A19">
        <v>8</v>
      </c>
      <c r="B19" s="4">
        <v>99.99798630688683</v>
      </c>
      <c r="C19" s="4">
        <v>99.993852165062535</v>
      </c>
      <c r="D19" s="4">
        <v>99.995308625427242</v>
      </c>
      <c r="E19" s="4">
        <v>99.99932875995114</v>
      </c>
      <c r="F19" s="4">
        <v>99.995901359382472</v>
      </c>
      <c r="G19" s="4">
        <v>99.996648973245399</v>
      </c>
      <c r="H19" t="s">
        <v>47</v>
      </c>
      <c r="P19" s="5" t="s">
        <v>47</v>
      </c>
      <c r="Q19" s="8">
        <v>99.99798630688683</v>
      </c>
      <c r="R19" s="8">
        <v>99.993852165062535</v>
      </c>
      <c r="S19" s="8">
        <v>99.995308625427242</v>
      </c>
      <c r="T19" s="8">
        <v>99.99932875995114</v>
      </c>
      <c r="U19" s="8">
        <v>99.995901359382472</v>
      </c>
      <c r="V19" s="8">
        <v>99.996648973245399</v>
      </c>
    </row>
    <row r="20" spans="1:22" x14ac:dyDescent="0.25">
      <c r="A20">
        <v>9</v>
      </c>
      <c r="B20" s="4">
        <v>99.998007544763823</v>
      </c>
      <c r="C20" s="4">
        <v>0</v>
      </c>
      <c r="D20" s="4">
        <v>99.999311764017648</v>
      </c>
      <c r="E20" s="4">
        <v>99.9966792853822</v>
      </c>
      <c r="F20" s="4">
        <v>0</v>
      </c>
      <c r="G20" s="4">
        <v>99.998623537508607</v>
      </c>
      <c r="H20" t="s">
        <v>47</v>
      </c>
      <c r="P20" s="6" t="s">
        <v>47</v>
      </c>
      <c r="Q20" s="9">
        <v>99.998007544763823</v>
      </c>
      <c r="R20" s="9">
        <v>0</v>
      </c>
      <c r="S20" s="9">
        <v>99.999311764017648</v>
      </c>
      <c r="T20" s="9">
        <v>99.9966792853822</v>
      </c>
      <c r="U20" s="9">
        <v>0</v>
      </c>
      <c r="V20" s="9">
        <v>99.998623537508607</v>
      </c>
    </row>
    <row r="21" spans="1:22" x14ac:dyDescent="0.25">
      <c r="A21">
        <v>10</v>
      </c>
      <c r="B21" s="4">
        <v>99.998657528913469</v>
      </c>
      <c r="C21" s="4">
        <v>100.00136621353919</v>
      </c>
      <c r="D21" s="4">
        <v>99.997319214529867</v>
      </c>
      <c r="E21" s="4">
        <v>99.997315093871038</v>
      </c>
      <c r="F21" s="4">
        <v>100</v>
      </c>
      <c r="G21" s="4">
        <v>99.995978875693638</v>
      </c>
      <c r="H21" t="s">
        <v>47</v>
      </c>
      <c r="P21" s="5" t="s">
        <v>47</v>
      </c>
      <c r="Q21" s="8">
        <v>99.998657528913469</v>
      </c>
      <c r="R21" s="8">
        <v>100.00136621353919</v>
      </c>
      <c r="S21" s="8">
        <v>99.997319214529867</v>
      </c>
      <c r="T21" s="8">
        <v>99.997315093871038</v>
      </c>
      <c r="U21" s="8">
        <v>100</v>
      </c>
      <c r="V21" s="8">
        <v>99.995978875693638</v>
      </c>
    </row>
    <row r="22" spans="1:22" x14ac:dyDescent="0.25">
      <c r="A22">
        <v>11</v>
      </c>
      <c r="B22" s="4">
        <v>99.995350937782263</v>
      </c>
      <c r="C22" s="4">
        <v>0</v>
      </c>
      <c r="D22" s="4">
        <v>99.998623556454831</v>
      </c>
      <c r="E22" s="4">
        <v>99.99667919716272</v>
      </c>
      <c r="F22" s="4">
        <v>0</v>
      </c>
      <c r="G22" s="4">
        <v>99.997935348891616</v>
      </c>
      <c r="H22" t="s">
        <v>47</v>
      </c>
      <c r="P22" s="6" t="s">
        <v>47</v>
      </c>
      <c r="Q22" s="9">
        <v>99.995350937782263</v>
      </c>
      <c r="R22" s="9">
        <v>0</v>
      </c>
      <c r="S22" s="9">
        <v>99.998623556454831</v>
      </c>
      <c r="T22" s="9">
        <v>99.99667919716272</v>
      </c>
      <c r="U22" s="9">
        <v>0</v>
      </c>
      <c r="V22" s="9">
        <v>99.997935348891616</v>
      </c>
    </row>
    <row r="23" spans="1:22" x14ac:dyDescent="0.25">
      <c r="A23">
        <v>12</v>
      </c>
      <c r="B23" s="4">
        <v>99.996643506864032</v>
      </c>
      <c r="C23" s="4">
        <v>99.997950651692776</v>
      </c>
      <c r="D23" s="4">
        <v>99.997319178596328</v>
      </c>
      <c r="E23" s="4">
        <v>99.998657375706557</v>
      </c>
      <c r="F23" s="4">
        <v>99.998633758462162</v>
      </c>
      <c r="G23" s="4">
        <v>99.998659571330919</v>
      </c>
      <c r="H23" t="s">
        <v>47</v>
      </c>
      <c r="P23" s="5" t="s">
        <v>47</v>
      </c>
      <c r="Q23" s="8">
        <v>99.996643506864032</v>
      </c>
      <c r="R23" s="8">
        <v>99.997950651692776</v>
      </c>
      <c r="S23" s="8">
        <v>99.997319178596328</v>
      </c>
      <c r="T23" s="8">
        <v>99.998657375706557</v>
      </c>
      <c r="U23" s="8">
        <v>99.998633758462162</v>
      </c>
      <c r="V23" s="8">
        <v>99.998659571330919</v>
      </c>
    </row>
    <row r="24" spans="1:22" x14ac:dyDescent="0.25">
      <c r="A24">
        <v>15</v>
      </c>
      <c r="B24" s="4">
        <v>0</v>
      </c>
      <c r="C24" s="4">
        <v>99.995341563238284</v>
      </c>
      <c r="D24" s="4">
        <v>99.994690629624955</v>
      </c>
      <c r="E24" s="4">
        <v>0</v>
      </c>
      <c r="F24" s="4">
        <v>99.994676107702347</v>
      </c>
      <c r="G24" s="4">
        <v>99.994690629624955</v>
      </c>
      <c r="H24" t="s">
        <v>47</v>
      </c>
      <c r="P24" s="6" t="s">
        <v>47</v>
      </c>
      <c r="Q24" s="9">
        <v>0</v>
      </c>
      <c r="R24" s="9">
        <v>99.995341563238284</v>
      </c>
      <c r="S24" s="9">
        <v>99.994690629624955</v>
      </c>
      <c r="T24" s="9">
        <v>0</v>
      </c>
      <c r="U24" s="9">
        <v>99.994676107702347</v>
      </c>
      <c r="V24" s="9">
        <v>99.994690629624955</v>
      </c>
    </row>
    <row r="25" spans="1:22" x14ac:dyDescent="0.25">
      <c r="A25">
        <v>16</v>
      </c>
      <c r="B25" s="4">
        <v>99.996014983661425</v>
      </c>
      <c r="C25" s="4">
        <v>0</v>
      </c>
      <c r="D25" s="4">
        <v>106.8787292760645</v>
      </c>
      <c r="E25" s="4">
        <v>99.996014983661425</v>
      </c>
      <c r="F25" s="4">
        <v>0</v>
      </c>
      <c r="G25" s="4">
        <v>106.8787292760645</v>
      </c>
      <c r="H25" t="s">
        <v>47</v>
      </c>
      <c r="P25" s="5" t="s">
        <v>47</v>
      </c>
      <c r="Q25" s="8">
        <v>99.996014983661425</v>
      </c>
      <c r="R25" s="8">
        <v>0</v>
      </c>
      <c r="S25" s="8">
        <v>106.8787292760645</v>
      </c>
      <c r="T25" s="8">
        <v>99.996014983661425</v>
      </c>
      <c r="U25" s="8">
        <v>0</v>
      </c>
      <c r="V25" s="8">
        <v>106.8787292760645</v>
      </c>
    </row>
    <row r="26" spans="1:22" x14ac:dyDescent="0.25">
      <c r="A26">
        <v>19</v>
      </c>
      <c r="B26" s="4">
        <v>99.994692707780487</v>
      </c>
      <c r="C26" s="4">
        <v>99.995266144139151</v>
      </c>
      <c r="D26" s="4">
        <v>99.996712191850179</v>
      </c>
      <c r="E26" s="4">
        <v>99.994692707780487</v>
      </c>
      <c r="F26" s="4">
        <v>99.995266144139151</v>
      </c>
      <c r="G26" s="4">
        <v>99.996054656163281</v>
      </c>
      <c r="H26" t="s">
        <v>47</v>
      </c>
      <c r="P26" s="6" t="s">
        <v>47</v>
      </c>
      <c r="Q26" s="9">
        <v>99.994692707780487</v>
      </c>
      <c r="R26" s="9">
        <v>99.995266144139151</v>
      </c>
      <c r="S26" s="9">
        <v>99.996712191850179</v>
      </c>
      <c r="T26" s="9">
        <v>99.994692707780487</v>
      </c>
      <c r="U26" s="9">
        <v>99.995266144139151</v>
      </c>
      <c r="V26" s="9">
        <v>99.996054656163281</v>
      </c>
    </row>
    <row r="27" spans="1:22" x14ac:dyDescent="0.25">
      <c r="A27">
        <v>20</v>
      </c>
      <c r="B27" s="4">
        <v>0</v>
      </c>
      <c r="C27" s="4">
        <v>99.998668131721772</v>
      </c>
      <c r="D27" s="4">
        <v>99.998008589616788</v>
      </c>
      <c r="E27" s="4">
        <v>0</v>
      </c>
      <c r="F27" s="4">
        <v>99.996670395823344</v>
      </c>
      <c r="G27" s="4">
        <v>99.99734480378099</v>
      </c>
      <c r="H27" t="s">
        <v>47</v>
      </c>
      <c r="P27" s="5" t="s">
        <v>47</v>
      </c>
      <c r="Q27" s="8">
        <v>0</v>
      </c>
      <c r="R27" s="8">
        <v>99.998668131721772</v>
      </c>
      <c r="S27" s="8">
        <v>99.998008589616788</v>
      </c>
      <c r="T27" s="8">
        <v>0</v>
      </c>
      <c r="U27" s="8">
        <v>99.996670395823344</v>
      </c>
      <c r="V27" s="8">
        <v>99.99734480378099</v>
      </c>
    </row>
    <row r="28" spans="1:22" x14ac:dyDescent="0.25">
      <c r="A28">
        <v>21</v>
      </c>
      <c r="B28" s="4">
        <v>99.994692073939405</v>
      </c>
      <c r="C28" s="4">
        <v>99.994589879016175</v>
      </c>
      <c r="D28" s="4">
        <v>99.997369684296359</v>
      </c>
      <c r="E28" s="4">
        <v>99.99535553388138</v>
      </c>
      <c r="F28" s="4">
        <v>99.99526611212552</v>
      </c>
      <c r="G28" s="4">
        <v>99.996054578333059</v>
      </c>
      <c r="H28" t="s">
        <v>47</v>
      </c>
      <c r="P28" s="6" t="s">
        <v>47</v>
      </c>
      <c r="Q28" s="9">
        <v>99.994692073939405</v>
      </c>
      <c r="R28" s="9">
        <v>99.994589879016175</v>
      </c>
      <c r="S28" s="9">
        <v>99.997369684296359</v>
      </c>
      <c r="T28" s="9">
        <v>99.99535553388138</v>
      </c>
      <c r="U28" s="9">
        <v>99.99526611212552</v>
      </c>
      <c r="V28" s="9">
        <v>99.996054578333059</v>
      </c>
    </row>
    <row r="29" spans="1:22" x14ac:dyDescent="0.25">
      <c r="A29">
        <v>22</v>
      </c>
      <c r="B29" s="4">
        <v>0</v>
      </c>
      <c r="C29" s="4">
        <v>99.993336487395965</v>
      </c>
      <c r="D29" s="4">
        <v>99.995353067307505</v>
      </c>
      <c r="E29" s="4">
        <v>0</v>
      </c>
      <c r="F29" s="4">
        <v>99.994669118871983</v>
      </c>
      <c r="G29" s="4">
        <v>99.995353067307505</v>
      </c>
      <c r="H29" t="s">
        <v>47</v>
      </c>
      <c r="P29" s="5" t="s">
        <v>47</v>
      </c>
      <c r="Q29" s="8">
        <v>0</v>
      </c>
      <c r="R29" s="8">
        <v>99.993336487395965</v>
      </c>
      <c r="S29" s="8">
        <v>99.995353067307505</v>
      </c>
      <c r="T29" s="8">
        <v>0</v>
      </c>
      <c r="U29" s="8">
        <v>99.994669118871983</v>
      </c>
      <c r="V29" s="8">
        <v>99.995353067307505</v>
      </c>
    </row>
    <row r="30" spans="1:22" x14ac:dyDescent="0.25">
      <c r="A30">
        <v>23</v>
      </c>
      <c r="B30" s="4">
        <v>99.999336491633159</v>
      </c>
      <c r="C30" s="4">
        <v>99.997971163470126</v>
      </c>
      <c r="D30" s="4">
        <v>99.994739403185292</v>
      </c>
      <c r="E30" s="4">
        <v>99.996682546212128</v>
      </c>
      <c r="F30" s="4">
        <v>100.00473427207186</v>
      </c>
      <c r="G30" s="4">
        <v>99.994739403185292</v>
      </c>
      <c r="H30" t="s">
        <v>47</v>
      </c>
      <c r="P30" s="6" t="s">
        <v>47</v>
      </c>
      <c r="Q30" s="9">
        <v>99.999336491633159</v>
      </c>
      <c r="R30" s="9">
        <v>99.997971163470126</v>
      </c>
      <c r="S30" s="9">
        <v>99.994739403185292</v>
      </c>
      <c r="T30" s="9">
        <v>99.996682546212128</v>
      </c>
      <c r="U30" s="9">
        <v>100.00473427207186</v>
      </c>
      <c r="V30" s="9">
        <v>99.994739403185292</v>
      </c>
    </row>
    <row r="31" spans="1:22" x14ac:dyDescent="0.25">
      <c r="A31">
        <v>24</v>
      </c>
      <c r="B31" s="4">
        <v>0</v>
      </c>
      <c r="C31" s="4">
        <v>99.995335447930273</v>
      </c>
      <c r="D31" s="4">
        <v>99.996680762362502</v>
      </c>
      <c r="E31" s="4">
        <v>0</v>
      </c>
      <c r="F31" s="4">
        <v>99.997334488388361</v>
      </c>
      <c r="G31" s="4">
        <v>99.997344592262152</v>
      </c>
      <c r="H31" t="s">
        <v>47</v>
      </c>
      <c r="P31" s="5" t="s">
        <v>47</v>
      </c>
      <c r="Q31" s="8">
        <v>0</v>
      </c>
      <c r="R31" s="8">
        <v>99.995335447930273</v>
      </c>
      <c r="S31" s="8">
        <v>99.996680762362502</v>
      </c>
      <c r="T31" s="8">
        <v>0</v>
      </c>
      <c r="U31" s="8">
        <v>99.997334488388361</v>
      </c>
      <c r="V31" s="8">
        <v>99.997344592262152</v>
      </c>
    </row>
    <row r="32" spans="1:22" x14ac:dyDescent="0.25">
      <c r="A32">
        <v>30</v>
      </c>
      <c r="B32">
        <v>99.993958434026084</v>
      </c>
      <c r="C32">
        <v>99.995218285277105</v>
      </c>
      <c r="D32">
        <v>99.996648950786479</v>
      </c>
      <c r="E32">
        <v>99.990602323911034</v>
      </c>
      <c r="F32">
        <v>99.989754028374506</v>
      </c>
      <c r="G32">
        <v>99.992627988177958</v>
      </c>
      <c r="H32" t="s">
        <v>47</v>
      </c>
      <c r="P32" s="6" t="s">
        <v>47</v>
      </c>
      <c r="Q32" s="9">
        <v>99.993958434026084</v>
      </c>
      <c r="R32" s="9">
        <v>99.995218285277105</v>
      </c>
      <c r="S32" s="9">
        <v>99.996648950786479</v>
      </c>
      <c r="T32" s="9">
        <v>99.990602323911034</v>
      </c>
      <c r="U32" s="9">
        <v>99.989754028374506</v>
      </c>
      <c r="V32" s="9">
        <v>99.992627988177958</v>
      </c>
    </row>
    <row r="33" spans="1:22" x14ac:dyDescent="0.25">
      <c r="A33">
        <v>32</v>
      </c>
      <c r="B33">
        <v>99.998657366693294</v>
      </c>
      <c r="C33">
        <v>99.99726751692431</v>
      </c>
      <c r="D33">
        <v>99.995978606184906</v>
      </c>
      <c r="E33">
        <v>99.993287193979953</v>
      </c>
      <c r="F33">
        <v>99.991119975955627</v>
      </c>
      <c r="G33">
        <v>99.991957535788984</v>
      </c>
      <c r="H33" t="s">
        <v>47</v>
      </c>
      <c r="P33" s="5" t="s">
        <v>47</v>
      </c>
      <c r="Q33" s="8">
        <v>99.998657366693294</v>
      </c>
      <c r="R33" s="8">
        <v>99.99726751692431</v>
      </c>
      <c r="S33" s="8">
        <v>99.995978606184906</v>
      </c>
      <c r="T33" s="8">
        <v>99.993287193979953</v>
      </c>
      <c r="U33" s="8">
        <v>99.991119975955627</v>
      </c>
      <c r="V33" s="8">
        <v>99.991957535788984</v>
      </c>
    </row>
    <row r="34" spans="1:22" x14ac:dyDescent="0.25">
      <c r="A34">
        <v>14</v>
      </c>
      <c r="B34" s="4">
        <v>99.994022634291468</v>
      </c>
      <c r="C34" s="4">
        <v>0</v>
      </c>
      <c r="D34" s="4">
        <v>99.989677312798065</v>
      </c>
      <c r="E34" s="4">
        <v>99.995350876027786</v>
      </c>
      <c r="F34" s="4">
        <v>0</v>
      </c>
      <c r="G34" s="4">
        <v>99.99449430160216</v>
      </c>
      <c r="H34" t="s">
        <v>50</v>
      </c>
      <c r="P34" s="6" t="s">
        <v>50</v>
      </c>
      <c r="Q34" s="9">
        <v>99.994022634291468</v>
      </c>
      <c r="R34" s="9">
        <v>0</v>
      </c>
      <c r="S34" s="9">
        <v>99.989677312798065</v>
      </c>
      <c r="T34" s="9">
        <v>99.995350876027786</v>
      </c>
      <c r="U34" s="9">
        <v>0</v>
      </c>
      <c r="V34" s="9">
        <v>99.99449430160216</v>
      </c>
    </row>
    <row r="35" spans="1:22" x14ac:dyDescent="0.25">
      <c r="A35">
        <v>18</v>
      </c>
      <c r="B35" s="4">
        <v>0</v>
      </c>
      <c r="C35" s="4">
        <v>99.990677667019582</v>
      </c>
      <c r="D35" s="4">
        <v>99.992698598130843</v>
      </c>
      <c r="E35" s="4">
        <v>0</v>
      </c>
      <c r="F35" s="4">
        <v>99.990677667019582</v>
      </c>
      <c r="G35" s="4">
        <v>99.99402604643754</v>
      </c>
      <c r="H35" t="s">
        <v>50</v>
      </c>
      <c r="P35" s="5" t="s">
        <v>50</v>
      </c>
      <c r="Q35" s="8">
        <v>0</v>
      </c>
      <c r="R35" s="8">
        <v>99.990677667019582</v>
      </c>
      <c r="S35" s="8">
        <v>99.992698598130843</v>
      </c>
      <c r="T35" s="8">
        <v>0</v>
      </c>
      <c r="U35" s="8">
        <v>99.990677667019582</v>
      </c>
      <c r="V35" s="8">
        <v>99.99402604643754</v>
      </c>
    </row>
    <row r="36" spans="1:22" x14ac:dyDescent="0.25">
      <c r="A36">
        <v>3</v>
      </c>
      <c r="B36" s="4">
        <v>99.994472924237613</v>
      </c>
      <c r="C36" s="4">
        <v>99.994611778651858</v>
      </c>
      <c r="D36" s="4">
        <v>99.992904919470831</v>
      </c>
      <c r="E36" s="4">
        <v>99.995854635898851</v>
      </c>
      <c r="F36" s="4">
        <v>99.995958779551415</v>
      </c>
      <c r="G36" s="4">
        <v>99.993549885187946</v>
      </c>
      <c r="H36" t="s">
        <v>48</v>
      </c>
      <c r="P36" s="6" t="s">
        <v>48</v>
      </c>
      <c r="Q36" s="9">
        <v>99.994472924237613</v>
      </c>
      <c r="R36" s="9">
        <v>99.994611778651858</v>
      </c>
      <c r="S36" s="9">
        <v>99.992904919470831</v>
      </c>
      <c r="T36" s="9">
        <v>99.995854635898851</v>
      </c>
      <c r="U36" s="9">
        <v>99.995958779551415</v>
      </c>
      <c r="V36" s="9">
        <v>99.993549885187946</v>
      </c>
    </row>
    <row r="37" spans="1:22" x14ac:dyDescent="0.25">
      <c r="A37">
        <v>5</v>
      </c>
      <c r="B37" s="4">
        <v>99.992695058539155</v>
      </c>
      <c r="C37" s="4">
        <v>0</v>
      </c>
      <c r="D37" s="4">
        <v>99.995870640945355</v>
      </c>
      <c r="E37" s="4">
        <v>99.992695058539155</v>
      </c>
      <c r="F37" s="4">
        <v>0</v>
      </c>
      <c r="G37" s="4">
        <v>99.993806089302424</v>
      </c>
      <c r="H37" t="s">
        <v>48</v>
      </c>
      <c r="P37" s="5" t="s">
        <v>48</v>
      </c>
      <c r="Q37" s="8">
        <v>99.992695058539155</v>
      </c>
      <c r="R37" s="8">
        <v>0</v>
      </c>
      <c r="S37" s="8">
        <v>99.995870640945355</v>
      </c>
      <c r="T37" s="8">
        <v>99.992695058539155</v>
      </c>
      <c r="U37" s="8">
        <v>0</v>
      </c>
      <c r="V37" s="8">
        <v>99.993806089302424</v>
      </c>
    </row>
    <row r="38" spans="1:22" x14ac:dyDescent="0.25">
      <c r="A38">
        <v>26</v>
      </c>
      <c r="B38" s="4">
        <v>99.977445504358315</v>
      </c>
      <c r="C38" s="4">
        <v>99.972279691155194</v>
      </c>
      <c r="D38" s="4">
        <v>99.980931339672026</v>
      </c>
      <c r="E38" s="4">
        <v>99.97877195775618</v>
      </c>
      <c r="F38" s="4">
        <v>99.975659393783673</v>
      </c>
      <c r="G38" s="4">
        <v>99.982903622459375</v>
      </c>
      <c r="H38" t="s">
        <v>48</v>
      </c>
      <c r="P38" s="6" t="s">
        <v>48</v>
      </c>
      <c r="Q38" s="9">
        <v>99.977445504358315</v>
      </c>
      <c r="R38" s="9">
        <v>99.972279691155194</v>
      </c>
      <c r="S38" s="9">
        <v>99.980931339672026</v>
      </c>
      <c r="T38" s="9">
        <v>99.97877195775618</v>
      </c>
      <c r="U38" s="9">
        <v>99.975659393783673</v>
      </c>
      <c r="V38" s="9">
        <v>99.982903622459375</v>
      </c>
    </row>
    <row r="39" spans="1:22" x14ac:dyDescent="0.25">
      <c r="A39">
        <v>31</v>
      </c>
      <c r="B39">
        <v>99.988946535775227</v>
      </c>
      <c r="C39">
        <v>99.987877155172413</v>
      </c>
      <c r="D39">
        <v>99.988390017995471</v>
      </c>
      <c r="E39">
        <v>99.991018874181336</v>
      </c>
      <c r="F39">
        <v>99.987877155172413</v>
      </c>
      <c r="G39">
        <v>99.989034946271232</v>
      </c>
      <c r="H39" t="s">
        <v>48</v>
      </c>
      <c r="P39" s="5" t="s">
        <v>48</v>
      </c>
      <c r="Q39" s="8">
        <v>99.988946535775227</v>
      </c>
      <c r="R39" s="8">
        <v>99.987877155172413</v>
      </c>
      <c r="S39" s="8">
        <v>99.988390017995471</v>
      </c>
      <c r="T39" s="8">
        <v>99.991018874181336</v>
      </c>
      <c r="U39" s="8">
        <v>99.987877155172413</v>
      </c>
      <c r="V39" s="8">
        <v>99.989034946271232</v>
      </c>
    </row>
    <row r="40" spans="1:22" x14ac:dyDescent="0.25">
      <c r="A40">
        <v>17</v>
      </c>
      <c r="B40" s="4">
        <v>99.978113227569366</v>
      </c>
      <c r="C40" s="4">
        <v>99.972955430549547</v>
      </c>
      <c r="D40" s="4">
        <v>99.980287539096381</v>
      </c>
      <c r="E40" s="4">
        <v>99.985407753789019</v>
      </c>
      <c r="F40" s="4">
        <v>99.97971520142805</v>
      </c>
      <c r="G40" s="4">
        <v>99.982258435456842</v>
      </c>
      <c r="H40" t="s">
        <v>51</v>
      </c>
      <c r="P40" s="6" t="s">
        <v>49</v>
      </c>
      <c r="Q40" s="9">
        <v>99.983022182171993</v>
      </c>
      <c r="R40" s="9">
        <v>99.977377673094054</v>
      </c>
      <c r="S40" s="9">
        <v>99.975458495008795</v>
      </c>
      <c r="T40" s="9">
        <v>99.983675068564708</v>
      </c>
      <c r="U40" s="9">
        <v>99.977377673094054</v>
      </c>
      <c r="V40" s="9">
        <v>99.973469171176916</v>
      </c>
    </row>
    <row r="41" spans="1:22" x14ac:dyDescent="0.25">
      <c r="A41">
        <v>28</v>
      </c>
      <c r="B41" s="4">
        <v>99.940959013478789</v>
      </c>
      <c r="C41" s="4">
        <v>99.93992107814357</v>
      </c>
      <c r="D41" s="4">
        <v>99.961810324612244</v>
      </c>
      <c r="E41" s="4">
        <v>99.951017888535503</v>
      </c>
      <c r="F41" s="4">
        <v>99.948791828541388</v>
      </c>
      <c r="G41" s="4">
        <v>99.968508157727229</v>
      </c>
      <c r="H41" t="s">
        <v>51</v>
      </c>
      <c r="P41" s="5" t="s">
        <v>49</v>
      </c>
      <c r="Q41" s="8">
        <v>99.964810240883864</v>
      </c>
      <c r="R41" s="8">
        <v>0</v>
      </c>
      <c r="S41" s="8">
        <v>99.970413997619374</v>
      </c>
      <c r="T41" s="8">
        <v>99.96746520769149</v>
      </c>
      <c r="U41" s="8">
        <v>0</v>
      </c>
      <c r="V41" s="8">
        <v>99.97178970255338</v>
      </c>
    </row>
    <row r="42" spans="1:22" x14ac:dyDescent="0.25">
      <c r="A42">
        <v>33</v>
      </c>
      <c r="B42">
        <v>0</v>
      </c>
      <c r="C42">
        <v>99.942722416847602</v>
      </c>
      <c r="D42">
        <v>99.936307845413836</v>
      </c>
      <c r="E42">
        <v>0</v>
      </c>
      <c r="F42">
        <v>99.944053708439895</v>
      </c>
      <c r="G42">
        <v>99.938296997120517</v>
      </c>
      <c r="H42" t="s">
        <v>51</v>
      </c>
      <c r="P42" s="6" t="s">
        <v>51</v>
      </c>
      <c r="Q42" s="9">
        <v>99.978113227569366</v>
      </c>
      <c r="R42" s="9">
        <v>99.972955430549547</v>
      </c>
      <c r="S42" s="9">
        <v>99.980287539096381</v>
      </c>
      <c r="T42" s="9">
        <v>99.985407753789019</v>
      </c>
      <c r="U42" s="9">
        <v>99.97971520142805</v>
      </c>
      <c r="V42" s="9">
        <v>99.982258435456842</v>
      </c>
    </row>
    <row r="43" spans="1:22" x14ac:dyDescent="0.25">
      <c r="A43">
        <v>25</v>
      </c>
      <c r="B43" s="4">
        <v>99.971749465996012</v>
      </c>
      <c r="C43" s="4">
        <v>99.9520830195912</v>
      </c>
      <c r="D43" s="4">
        <v>93.460128531524077</v>
      </c>
      <c r="E43" s="4">
        <v>99.978638368246962</v>
      </c>
      <c r="F43" s="4">
        <v>99.96713769306605</v>
      </c>
      <c r="G43" s="4">
        <v>99.972836685797077</v>
      </c>
      <c r="H43" t="s">
        <v>52</v>
      </c>
      <c r="P43" s="5" t="s">
        <v>51</v>
      </c>
      <c r="Q43" s="8">
        <v>99.940959013478789</v>
      </c>
      <c r="R43" s="8">
        <v>99.93992107814357</v>
      </c>
      <c r="S43" s="8">
        <v>99.961810324612244</v>
      </c>
      <c r="T43" s="8">
        <v>99.951017888535503</v>
      </c>
      <c r="U43" s="8">
        <v>99.948791828541388</v>
      </c>
      <c r="V43" s="8">
        <v>99.968508157727229</v>
      </c>
    </row>
    <row r="44" spans="1:22" x14ac:dyDescent="0.25">
      <c r="A44">
        <v>29</v>
      </c>
      <c r="B44" s="4">
        <v>99.959252173792933</v>
      </c>
      <c r="C44" s="4">
        <v>99.948162809171819</v>
      </c>
      <c r="D44" s="4">
        <v>99.936181322400358</v>
      </c>
      <c r="E44" s="4">
        <v>99.96132329580773</v>
      </c>
      <c r="F44" s="4">
        <v>99.951527228905931</v>
      </c>
      <c r="G44" s="4">
        <v>99.944556906533265</v>
      </c>
      <c r="H44" t="s">
        <v>52</v>
      </c>
      <c r="P44" s="6" t="s">
        <v>51</v>
      </c>
      <c r="Q44" s="9">
        <v>0</v>
      </c>
      <c r="R44" s="9">
        <v>99.942722416847602</v>
      </c>
      <c r="S44" s="9">
        <v>99.936307845413836</v>
      </c>
      <c r="T44" s="9">
        <v>0</v>
      </c>
      <c r="U44" s="9">
        <v>99.944053708439895</v>
      </c>
      <c r="V44" s="9">
        <v>99.938296997120517</v>
      </c>
    </row>
    <row r="45" spans="1:22" x14ac:dyDescent="0.25">
      <c r="A45">
        <v>34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 t="s">
        <v>53</v>
      </c>
      <c r="P45" s="5" t="s">
        <v>52</v>
      </c>
      <c r="Q45" s="8">
        <v>99.971749465996012</v>
      </c>
      <c r="R45" s="8">
        <v>99.9520830195912</v>
      </c>
      <c r="S45" s="8">
        <v>93.460128531524077</v>
      </c>
      <c r="T45" s="8">
        <v>99.978638368246962</v>
      </c>
      <c r="U45" s="8">
        <v>99.96713769306605</v>
      </c>
      <c r="V45" s="8">
        <v>99.972836685797077</v>
      </c>
    </row>
    <row r="46" spans="1:22" x14ac:dyDescent="0.25">
      <c r="A46">
        <v>13</v>
      </c>
      <c r="B46" s="4">
        <v>99.983022182171993</v>
      </c>
      <c r="C46" s="4">
        <v>99.977377673094054</v>
      </c>
      <c r="D46" s="4">
        <v>99.975458495008795</v>
      </c>
      <c r="E46" s="4">
        <v>99.983675068564708</v>
      </c>
      <c r="F46" s="4">
        <v>99.977377673094054</v>
      </c>
      <c r="G46" s="4">
        <v>99.973469171176916</v>
      </c>
      <c r="H46" t="s">
        <v>49</v>
      </c>
      <c r="P46" s="6" t="s">
        <v>52</v>
      </c>
      <c r="Q46" s="9">
        <v>99.959252173792933</v>
      </c>
      <c r="R46" s="9">
        <v>99.948162809171819</v>
      </c>
      <c r="S46" s="9">
        <v>99.936181322400358</v>
      </c>
      <c r="T46" s="9">
        <v>99.96132329580773</v>
      </c>
      <c r="U46" s="9">
        <v>99.951527228905931</v>
      </c>
      <c r="V46" s="9">
        <v>99.944556906533265</v>
      </c>
    </row>
    <row r="47" spans="1:22" x14ac:dyDescent="0.25">
      <c r="A47">
        <v>27</v>
      </c>
      <c r="B47" s="4">
        <v>99.964810240883864</v>
      </c>
      <c r="C47" s="4">
        <v>0</v>
      </c>
      <c r="D47" s="4">
        <v>99.970413997619374</v>
      </c>
      <c r="E47" s="4">
        <v>99.96746520769149</v>
      </c>
      <c r="F47" s="4">
        <v>0</v>
      </c>
      <c r="G47" s="4">
        <v>99.97178970255338</v>
      </c>
      <c r="H47" t="s">
        <v>49</v>
      </c>
      <c r="P47" s="5" t="s">
        <v>53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EF8FF7-E61C-4222-8A5F-D9FFD3452F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 Torres</dc:creator>
  <cp:keywords/>
  <dc:description/>
  <cp:lastModifiedBy>Nicole Torres</cp:lastModifiedBy>
  <cp:revision/>
  <dcterms:created xsi:type="dcterms:W3CDTF">2024-11-13T20:06:29Z</dcterms:created>
  <dcterms:modified xsi:type="dcterms:W3CDTF">2025-08-28T19:24:58Z</dcterms:modified>
  <cp:category/>
  <cp:contentStatus/>
</cp:coreProperties>
</file>